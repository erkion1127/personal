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최종" sheetId="1" r:id="rId4"/>
  </sheets>
</workbook>
</file>

<file path=xl/sharedStrings.xml><?xml version="1.0" encoding="utf-8"?>
<sst xmlns="http://schemas.openxmlformats.org/spreadsheetml/2006/main" uniqueCount="45">
  <si>
    <t>1. 기본정보 입력</t>
  </si>
  <si>
    <t>구분</t>
  </si>
  <si>
    <t>정보</t>
  </si>
  <si>
    <t>비고</t>
  </si>
  <si>
    <t>이름</t>
  </si>
  <si>
    <t>이정섭</t>
  </si>
  <si>
    <t>-</t>
  </si>
  <si>
    <t>주민등록번호</t>
  </si>
  <si>
    <t>861127-1010119</t>
  </si>
  <si>
    <t>주소</t>
  </si>
  <si>
    <t>서울시 동대문구 이문동 311 래미안이문2차아파트 109동 1103호</t>
  </si>
  <si>
    <t>주민등록등본 상 거주지</t>
  </si>
  <si>
    <t>쿠팡 재직여부</t>
  </si>
  <si>
    <t>퇴사</t>
  </si>
  <si>
    <t>행사연도 12월 31일 현재, 여/부</t>
  </si>
  <si>
    <t>쿠팡 퇴직일자</t>
  </si>
  <si>
    <t>해당있는 사람만 작성</t>
  </si>
  <si>
    <t>2. 스톡옵션 관련 정보 입력</t>
  </si>
  <si>
    <t>행사일자</t>
  </si>
  <si>
    <t>행사주식수</t>
  </si>
  <si>
    <t>per share, unit : USD</t>
  </si>
  <si>
    <t>시가(FMV)</t>
  </si>
  <si>
    <t>행사가(grant price)</t>
  </si>
  <si>
    <t>이익</t>
  </si>
  <si>
    <t>달러이익</t>
  </si>
  <si>
    <t>환율</t>
  </si>
  <si>
    <t>원화이익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</si>
  <si>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</si>
  <si>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</si>
  <si>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</si>
  <si>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</si>
  <si>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</si>
  <si>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</si>
  <si>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</si>
  <si>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</si>
  <si>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</si>
  <si>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</si>
  <si>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</si>
  <si>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</si>
  <si>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</si>
  <si>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</si>
  <si>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</si>
  <si>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</si>
  <si>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</si>
  <si>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합계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</si>
</sst>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yy.m.d."/>
    <numFmt numFmtId="60" formatCode="&quot; &quot;* #,##0&quot; &quot;;&quot;-&quot;* #,##0&quot; &quot;;&quot; &quot;* &quot;- &quot;"/>
    <numFmt numFmtId="61" formatCode="[$$-409]#,##0.000"/>
    <numFmt numFmtId="62" formatCode="&quot; &quot;* #,##0.00&quot; &quot;;&quot;-&quot;* #,##0.00&quot; &quot;;&quot; &quot;* &quot;- &quot;"/>
  </numFmts>
  <fonts count="6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맑은 고딕"/>
    </font>
    <font>
      <sz val="12"/>
      <color indexed="13"/>
      <name val="Arial"/>
    </font>
    <font>
      <sz val="12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center"/>
    </xf>
    <xf numFmtId="0" fontId="0" borderId="6" applyNumberFormat="0" applyFont="1" applyFill="0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3" fillId="3" borderId="9" applyNumberFormat="1" applyFont="1" applyFill="1" applyBorder="1" applyAlignment="1" applyProtection="0">
      <alignment horizontal="center" vertical="center"/>
    </xf>
    <xf numFmtId="49" fontId="3" fillId="3" borderId="10" applyNumberFormat="1" applyFont="1" applyFill="1" applyBorder="1" applyAlignment="1" applyProtection="0">
      <alignment horizontal="center" vertical="center"/>
    </xf>
    <xf numFmtId="0" fontId="3" fillId="3" borderId="11" applyNumberFormat="0" applyFont="1" applyFill="1" applyBorder="1" applyAlignment="1" applyProtection="0">
      <alignment horizontal="center" vertical="center"/>
    </xf>
    <xf numFmtId="0" fontId="3" fillId="3" borderId="9" applyNumberFormat="0" applyFont="1" applyFill="1" applyBorder="1" applyAlignment="1" applyProtection="0">
      <alignment horizontal="center" vertical="center"/>
    </xf>
    <xf numFmtId="0" fontId="0" borderId="12" applyNumberFormat="0" applyFont="1" applyFill="0" applyBorder="1" applyAlignment="1" applyProtection="0">
      <alignment vertical="center"/>
    </xf>
    <xf numFmtId="49" fontId="0" borderId="9" applyNumberFormat="1" applyFont="1" applyFill="0" applyBorder="1" applyAlignment="1" applyProtection="0">
      <alignment horizontal="center" vertical="center"/>
    </xf>
    <xf numFmtId="49" fontId="0" fillId="4" borderId="9" applyNumberFormat="1" applyFont="1" applyFill="1" applyBorder="1" applyAlignment="1" applyProtection="0">
      <alignment horizontal="center" vertical="center"/>
    </xf>
    <xf numFmtId="0" fontId="0" fillId="4" borderId="9" applyNumberFormat="0" applyFont="1" applyFill="1" applyBorder="1" applyAlignment="1" applyProtection="0">
      <alignment horizontal="center" vertical="center"/>
    </xf>
    <xf numFmtId="0" fontId="0" borderId="9" applyNumberFormat="0" applyFont="1" applyFill="0" applyBorder="1" applyAlignment="1" applyProtection="0">
      <alignment horizontal="center" vertical="center"/>
    </xf>
    <xf numFmtId="59" fontId="0" fillId="4" borderId="9" applyNumberFormat="1" applyFont="1" applyFill="1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vertical="center"/>
    </xf>
    <xf numFmtId="0" fontId="3" fillId="3" borderId="14" applyNumberFormat="0" applyFont="1" applyFill="1" applyBorder="1" applyAlignment="1" applyProtection="0">
      <alignment horizontal="center" vertical="center"/>
    </xf>
    <xf numFmtId="0" fontId="0" borderId="15" applyNumberFormat="0" applyFont="1" applyFill="0" applyBorder="1" applyAlignment="1" applyProtection="0">
      <alignment vertical="center"/>
    </xf>
    <xf numFmtId="14" fontId="0" fillId="4" borderId="9" applyNumberFormat="1" applyFont="1" applyFill="1" applyBorder="1" applyAlignment="1" applyProtection="0">
      <alignment horizontal="center" vertical="center"/>
    </xf>
    <xf numFmtId="60" fontId="4" fillId="4" borderId="9" applyNumberFormat="1" applyFont="1" applyFill="1" applyBorder="1" applyAlignment="1" applyProtection="0">
      <alignment horizontal="right" vertical="center" readingOrder="1"/>
    </xf>
    <xf numFmtId="61" fontId="0" fillId="4" borderId="9" applyNumberFormat="1" applyFont="1" applyFill="1" applyBorder="1" applyAlignment="1" applyProtection="0">
      <alignment vertical="center"/>
    </xf>
    <xf numFmtId="61" fontId="0" borderId="9" applyNumberFormat="1" applyFont="1" applyFill="0" applyBorder="1" applyAlignment="1" applyProtection="0">
      <alignment vertical="center"/>
    </xf>
    <xf numFmtId="62" fontId="5" borderId="9" applyNumberFormat="1" applyFont="1" applyFill="0" applyBorder="1" applyAlignment="1" applyProtection="0">
      <alignment vertical="center" readingOrder="1"/>
    </xf>
    <xf numFmtId="60" fontId="0" borderId="9" applyNumberFormat="1" applyFont="1" applyFill="0" applyBorder="1" applyAlignment="1" applyProtection="0">
      <alignment vertical="center"/>
    </xf>
    <xf numFmtId="60" fontId="4" fillId="4" borderId="9" applyNumberFormat="1" applyFont="1" applyFill="1" applyBorder="1" applyAlignment="1" applyProtection="0">
      <alignment vertical="center" readingOrder="1"/>
    </xf>
    <xf numFmtId="60" fontId="0" fillId="4" borderId="9" applyNumberFormat="1" applyFont="1" applyFill="1" applyBorder="1" applyAlignment="1" applyProtection="0">
      <alignment vertical="center"/>
    </xf>
    <xf numFmtId="62" fontId="0" borderId="9" applyNumberFormat="1" applyFont="1" applyFill="0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vertical="center"/>
    </xf>
    <xf numFmtId="60" fontId="3" fillId="3" borderId="9" applyNumberFormat="1" applyFont="1" applyFill="1" applyBorder="1" applyAlignment="1" applyProtection="0">
      <alignment vertical="center"/>
    </xf>
    <xf numFmtId="61" fontId="3" fillId="3" borderId="9" applyNumberFormat="1" applyFont="1" applyFill="1" applyBorder="1" applyAlignment="1" applyProtection="0">
      <alignment vertical="center"/>
    </xf>
    <xf numFmtId="0" fontId="0" borderId="17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ffff0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2"/>
  <sheetViews>
    <sheetView workbookViewId="0" showGridLines="0" defaultGridColor="1"/>
  </sheetViews>
  <sheetFormatPr defaultColWidth="15.6667" defaultRowHeight="16.5" customHeight="1" outlineLevelRow="0" outlineLevelCol="0"/>
  <cols>
    <col min="1" max="1" width="4.17188" style="1" customWidth="1"/>
    <col min="2" max="3" width="20.6719" style="1" customWidth="1"/>
    <col min="4" max="4" width="26.5" style="1" customWidth="1"/>
    <col min="5" max="10" width="20.6719" style="1" customWidth="1"/>
    <col min="11" max="11" width="15.6719" style="1" customWidth="1"/>
    <col min="12" max="16384" width="15.6719" style="1" customWidth="1"/>
  </cols>
  <sheetData>
    <row r="1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ht="16" customHeight="1">
      <c r="A2" t="s" s="5">
        <v>0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ht="16" customHeight="1">
      <c r="A3" s="8"/>
      <c r="B3" s="9"/>
      <c r="C3" s="9"/>
      <c r="D3" s="9"/>
      <c r="E3" s="9"/>
      <c r="F3" s="9"/>
      <c r="G3" s="6"/>
      <c r="H3" s="6"/>
      <c r="I3" s="6"/>
      <c r="J3" s="6"/>
      <c r="K3" s="7"/>
    </row>
    <row r="4" ht="16" customHeight="1">
      <c r="A4" s="10"/>
      <c r="B4" t="s" s="11">
        <v>1</v>
      </c>
      <c r="C4" t="s" s="12">
        <v>2</v>
      </c>
      <c r="D4" s="13"/>
      <c r="E4" t="s" s="11">
        <v>3</v>
      </c>
      <c r="F4" s="14"/>
      <c r="G4" s="15"/>
      <c r="H4" s="6"/>
      <c r="I4" s="6"/>
      <c r="J4" s="6"/>
      <c r="K4" s="7"/>
    </row>
    <row r="5" ht="16" customHeight="1">
      <c r="A5" s="10"/>
      <c r="B5" t="s" s="16">
        <v>4</v>
      </c>
      <c r="C5" t="s" s="17">
        <v>5</v>
      </c>
      <c r="D5" s="18"/>
      <c r="E5" t="s" s="16">
        <v>6</v>
      </c>
      <c r="F5" s="19"/>
      <c r="G5" s="15"/>
      <c r="H5" s="6"/>
      <c r="I5" s="6"/>
      <c r="J5" s="6"/>
      <c r="K5" s="7"/>
    </row>
    <row r="6" ht="16" customHeight="1">
      <c r="A6" s="10"/>
      <c r="B6" t="s" s="16">
        <v>7</v>
      </c>
      <c r="C6" t="s" s="17">
        <v>8</v>
      </c>
      <c r="D6" s="18"/>
      <c r="E6" t="s" s="16">
        <v>6</v>
      </c>
      <c r="F6" s="19"/>
      <c r="G6" s="15"/>
      <c r="H6" s="6"/>
      <c r="I6" s="6"/>
      <c r="J6" s="6"/>
      <c r="K6" s="7"/>
    </row>
    <row r="7" ht="16" customHeight="1">
      <c r="A7" s="10"/>
      <c r="B7" t="s" s="16">
        <v>9</v>
      </c>
      <c r="C7" t="s" s="17">
        <v>10</v>
      </c>
      <c r="D7" s="18"/>
      <c r="E7" t="s" s="16">
        <v>11</v>
      </c>
      <c r="F7" s="19"/>
      <c r="G7" s="15"/>
      <c r="H7" s="6"/>
      <c r="I7" s="6"/>
      <c r="J7" s="6"/>
      <c r="K7" s="7"/>
    </row>
    <row r="8" ht="16" customHeight="1">
      <c r="A8" s="10"/>
      <c r="B8" t="s" s="16">
        <v>12</v>
      </c>
      <c r="C8" t="s" s="17">
        <v>13</v>
      </c>
      <c r="D8" s="18"/>
      <c r="E8" t="s" s="16">
        <v>14</v>
      </c>
      <c r="F8" s="19"/>
      <c r="G8" s="15"/>
      <c r="H8" s="6"/>
      <c r="I8" s="6"/>
      <c r="J8" s="6"/>
      <c r="K8" s="7"/>
    </row>
    <row r="9" ht="16" customHeight="1">
      <c r="A9" s="10"/>
      <c r="B9" t="s" s="16">
        <v>15</v>
      </c>
      <c r="C9" s="20">
        <v>44907</v>
      </c>
      <c r="D9" s="18"/>
      <c r="E9" t="s" s="16">
        <v>16</v>
      </c>
      <c r="F9" s="19"/>
      <c r="G9" s="15"/>
      <c r="H9" s="6"/>
      <c r="I9" s="6"/>
      <c r="J9" s="6"/>
      <c r="K9" s="7"/>
    </row>
    <row r="10" ht="16" customHeight="1">
      <c r="A10" s="8"/>
      <c r="B10" s="21"/>
      <c r="C10" s="21"/>
      <c r="D10" s="21"/>
      <c r="E10" s="21"/>
      <c r="F10" s="21"/>
      <c r="G10" s="6"/>
      <c r="H10" s="6"/>
      <c r="I10" s="6"/>
      <c r="J10" s="6"/>
      <c r="K10" s="7"/>
    </row>
    <row r="11" ht="16" customHeight="1">
      <c r="A11" t="s" s="5">
        <v>17</v>
      </c>
      <c r="B11" s="6"/>
      <c r="C11" s="6"/>
      <c r="D11" s="6"/>
      <c r="E11" s="6"/>
      <c r="F11" s="6"/>
      <c r="G11" s="6"/>
      <c r="H11" s="6"/>
      <c r="I11" s="6"/>
      <c r="J11" s="6"/>
      <c r="K11" s="7"/>
    </row>
    <row r="12" ht="16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7"/>
    </row>
    <row r="13" ht="16" customHeight="1">
      <c r="A13" s="10"/>
      <c r="B13" t="s" s="11">
        <v>1</v>
      </c>
      <c r="C13" t="s" s="11">
        <v>18</v>
      </c>
      <c r="D13" t="s" s="11">
        <v>19</v>
      </c>
      <c r="E13" t="s" s="12">
        <v>20</v>
      </c>
      <c r="F13" s="22"/>
      <c r="G13" s="22"/>
      <c r="H13" s="22"/>
      <c r="I13" s="22"/>
      <c r="J13" s="13"/>
      <c r="K13" s="23"/>
    </row>
    <row r="14" ht="16" customHeight="1">
      <c r="A14" s="10"/>
      <c r="B14" s="14"/>
      <c r="C14" s="14"/>
      <c r="D14" s="14"/>
      <c r="E14" t="s" s="11">
        <v>21</v>
      </c>
      <c r="F14" t="s" s="11">
        <v>22</v>
      </c>
      <c r="G14" t="s" s="11">
        <v>23</v>
      </c>
      <c r="H14" t="s" s="11">
        <v>24</v>
      </c>
      <c r="I14" t="s" s="11">
        <v>25</v>
      </c>
      <c r="J14" t="s" s="11">
        <v>26</v>
      </c>
      <c r="K14" s="23"/>
    </row>
    <row r="15" ht="17" customHeight="1">
      <c r="A15" s="10"/>
      <c r="B15" t="s" s="16">
        <v>27</v>
      </c>
      <c r="C15" s="24">
        <v>44195</v>
      </c>
      <c r="D15" s="25">
        <v>1874</v>
      </c>
      <c r="E15" s="26">
        <v>8.07</v>
      </c>
      <c r="F15" s="26">
        <v>2.06</v>
      </c>
      <c r="G15" s="27">
        <f>E15-F15</f>
        <v>6.01</v>
      </c>
      <c r="H15" s="27">
        <f>D15*G15</f>
        <v>11262.74</v>
      </c>
      <c r="I15" s="28">
        <v>1093.2</v>
      </c>
      <c r="J15" s="29">
        <f>H15*I15</f>
        <v>12312427.368</v>
      </c>
      <c r="K15" s="23"/>
    </row>
    <row r="16" ht="17" customHeight="1">
      <c r="A16" s="10"/>
      <c r="B16" t="s" s="16">
        <v>28</v>
      </c>
      <c r="C16" s="24">
        <v>44195</v>
      </c>
      <c r="D16" s="30">
        <v>2361</v>
      </c>
      <c r="E16" s="26">
        <v>8.07</v>
      </c>
      <c r="F16" s="26">
        <v>1.99</v>
      </c>
      <c r="G16" s="27">
        <f>E16-F16</f>
        <v>6.08</v>
      </c>
      <c r="H16" s="27">
        <f>D16*G16</f>
        <v>14354.88</v>
      </c>
      <c r="I16" s="28">
        <v>1093.2</v>
      </c>
      <c r="J16" s="29">
        <f>H16*I16</f>
        <v>15692754.816</v>
      </c>
      <c r="K16" s="23"/>
    </row>
    <row r="17" ht="17" customHeight="1">
      <c r="A17" s="10"/>
      <c r="B17" t="s" s="16">
        <v>29</v>
      </c>
      <c r="C17" s="24">
        <v>44195</v>
      </c>
      <c r="D17" s="30">
        <v>2062</v>
      </c>
      <c r="E17" s="26">
        <v>8.07</v>
      </c>
      <c r="F17" s="26">
        <v>1.98</v>
      </c>
      <c r="G17" s="27">
        <f>E17-F17</f>
        <v>6.09</v>
      </c>
      <c r="H17" s="27">
        <f>D17*G17</f>
        <v>12557.58</v>
      </c>
      <c r="I17" s="28">
        <v>1093.2</v>
      </c>
      <c r="J17" s="29">
        <f>H17*I17</f>
        <v>13727946.456</v>
      </c>
      <c r="K17" s="23"/>
    </row>
    <row r="18" ht="16" customHeight="1">
      <c r="A18" s="10"/>
      <c r="B18" t="s" s="16">
        <v>30</v>
      </c>
      <c r="C18" s="24">
        <v>44279</v>
      </c>
      <c r="D18" s="31">
        <v>312</v>
      </c>
      <c r="E18" s="26">
        <v>45.06</v>
      </c>
      <c r="F18" s="26">
        <v>2.09</v>
      </c>
      <c r="G18" s="27">
        <f>E18-F18</f>
        <v>42.97</v>
      </c>
      <c r="H18" s="27">
        <f>D18*G18</f>
        <v>13406.64</v>
      </c>
      <c r="I18" s="32">
        <v>1128</v>
      </c>
      <c r="J18" s="29">
        <f>H18*I18</f>
        <v>15122689.92</v>
      </c>
      <c r="K18" s="23"/>
    </row>
    <row r="19" ht="16" customHeight="1">
      <c r="A19" s="10"/>
      <c r="B19" t="s" s="16">
        <v>31</v>
      </c>
      <c r="C19" s="24">
        <v>44279</v>
      </c>
      <c r="D19" s="31">
        <v>337</v>
      </c>
      <c r="E19" s="26">
        <v>45.06</v>
      </c>
      <c r="F19" s="26">
        <v>1.99</v>
      </c>
      <c r="G19" s="27">
        <f>E19-F19</f>
        <v>43.07</v>
      </c>
      <c r="H19" s="27">
        <f>D19*G19</f>
        <v>14514.59</v>
      </c>
      <c r="I19" s="32">
        <v>1128</v>
      </c>
      <c r="J19" s="29">
        <f>H19*I19</f>
        <v>16372457.52</v>
      </c>
      <c r="K19" s="23"/>
    </row>
    <row r="20" ht="16" customHeight="1">
      <c r="A20" s="10"/>
      <c r="B20" t="s" s="16">
        <v>32</v>
      </c>
      <c r="C20" s="24">
        <v>44279</v>
      </c>
      <c r="D20" s="31">
        <v>187</v>
      </c>
      <c r="E20" s="26">
        <v>45.06</v>
      </c>
      <c r="F20" s="26">
        <v>1.98</v>
      </c>
      <c r="G20" s="27">
        <f>E20-F20</f>
        <v>43.08</v>
      </c>
      <c r="H20" s="27">
        <f>D20*G20</f>
        <v>8055.96</v>
      </c>
      <c r="I20" s="32">
        <v>1128</v>
      </c>
      <c r="J20" s="29">
        <f>H20*I20</f>
        <v>9087122.880000001</v>
      </c>
      <c r="K20" s="23"/>
    </row>
    <row r="21" ht="16" customHeight="1">
      <c r="A21" s="10"/>
      <c r="B21" t="s" s="16">
        <v>33</v>
      </c>
      <c r="C21" s="24">
        <v>44446</v>
      </c>
      <c r="D21" s="31">
        <v>624</v>
      </c>
      <c r="E21" s="26">
        <v>29.82</v>
      </c>
      <c r="F21" s="26">
        <v>2.06</v>
      </c>
      <c r="G21" s="27">
        <f>E21-F21</f>
        <v>27.76</v>
      </c>
      <c r="H21" s="27">
        <f>D21*G21</f>
        <v>17322.24</v>
      </c>
      <c r="I21" s="32">
        <v>1157.3</v>
      </c>
      <c r="J21" s="29">
        <f>H21*I21</f>
        <v>20047028.352</v>
      </c>
      <c r="K21" s="23"/>
    </row>
    <row r="22" ht="16" customHeight="1">
      <c r="A22" s="10"/>
      <c r="B22" t="s" s="16">
        <v>34</v>
      </c>
      <c r="C22" s="24">
        <v>44446</v>
      </c>
      <c r="D22" s="31">
        <v>675</v>
      </c>
      <c r="E22" s="26">
        <v>29.82</v>
      </c>
      <c r="F22" s="26">
        <v>1.99</v>
      </c>
      <c r="G22" s="27">
        <f>E22-F22</f>
        <v>27.83</v>
      </c>
      <c r="H22" s="27">
        <f>D22*G22</f>
        <v>18785.25</v>
      </c>
      <c r="I22" s="32">
        <v>1157.3</v>
      </c>
      <c r="J22" s="29">
        <f>H22*I22</f>
        <v>21740169.825</v>
      </c>
      <c r="K22" s="23"/>
    </row>
    <row r="23" ht="16" customHeight="1">
      <c r="A23" s="10"/>
      <c r="B23" t="s" s="16">
        <v>35</v>
      </c>
      <c r="C23" s="24">
        <v>44446</v>
      </c>
      <c r="D23" s="31">
        <v>375</v>
      </c>
      <c r="E23" s="26">
        <v>29.82</v>
      </c>
      <c r="F23" s="26">
        <v>1.98</v>
      </c>
      <c r="G23" s="27">
        <f>E23-F23</f>
        <v>27.84</v>
      </c>
      <c r="H23" s="27">
        <f>D23*G23</f>
        <v>10440</v>
      </c>
      <c r="I23" s="32">
        <v>1157.3</v>
      </c>
      <c r="J23" s="29">
        <f>H23*I23</f>
        <v>12082212</v>
      </c>
      <c r="K23" s="23"/>
    </row>
    <row r="24" ht="16" customHeight="1">
      <c r="A24" s="10"/>
      <c r="B24" t="s" s="16">
        <v>36</v>
      </c>
      <c r="C24" s="24">
        <v>44544</v>
      </c>
      <c r="D24" s="31">
        <v>313</v>
      </c>
      <c r="E24" s="26">
        <v>26.87</v>
      </c>
      <c r="F24" s="26">
        <v>2.06</v>
      </c>
      <c r="G24" s="27">
        <f>E24-F24</f>
        <v>24.81</v>
      </c>
      <c r="H24" s="27">
        <f>D24*G24</f>
        <v>7765.53</v>
      </c>
      <c r="I24" s="32">
        <v>1178.8</v>
      </c>
      <c r="J24" s="29">
        <f>H24*I24</f>
        <v>9154006.764</v>
      </c>
      <c r="K24" s="23"/>
    </row>
    <row r="25" ht="16" customHeight="1">
      <c r="A25" s="10"/>
      <c r="B25" t="s" s="16">
        <v>37</v>
      </c>
      <c r="C25" s="24">
        <v>44544</v>
      </c>
      <c r="D25" s="31">
        <v>337</v>
      </c>
      <c r="E25" s="26">
        <v>26.87</v>
      </c>
      <c r="F25" s="26">
        <v>1.99</v>
      </c>
      <c r="G25" s="27">
        <f>E25-F25</f>
        <v>24.88</v>
      </c>
      <c r="H25" s="27">
        <f>D25*G25</f>
        <v>8384.559999999999</v>
      </c>
      <c r="I25" s="32">
        <v>1178.8</v>
      </c>
      <c r="J25" s="29">
        <f>H25*I25</f>
        <v>9883719.328</v>
      </c>
      <c r="K25" s="23"/>
    </row>
    <row r="26" ht="16" customHeight="1">
      <c r="A26" s="10"/>
      <c r="B26" t="s" s="16">
        <v>38</v>
      </c>
      <c r="C26" s="24">
        <v>44544</v>
      </c>
      <c r="D26" s="31">
        <v>188</v>
      </c>
      <c r="E26" s="26">
        <v>26.87</v>
      </c>
      <c r="F26" s="26">
        <v>1.98</v>
      </c>
      <c r="G26" s="27">
        <f>E26-F26</f>
        <v>24.89</v>
      </c>
      <c r="H26" s="27">
        <f>D26*G26</f>
        <v>4679.32</v>
      </c>
      <c r="I26" s="32">
        <v>1178.8</v>
      </c>
      <c r="J26" s="29">
        <f>H26*I26</f>
        <v>5515982.416</v>
      </c>
      <c r="K26" s="23"/>
    </row>
    <row r="27" ht="16" customHeight="1">
      <c r="A27" s="10"/>
      <c r="B27" t="s" s="16">
        <v>39</v>
      </c>
      <c r="C27" s="24">
        <v>44627</v>
      </c>
      <c r="D27" s="31">
        <v>312</v>
      </c>
      <c r="E27" s="26">
        <v>20.7</v>
      </c>
      <c r="F27" s="26">
        <v>2.06</v>
      </c>
      <c r="G27" s="27">
        <f>E27-F27</f>
        <v>18.64</v>
      </c>
      <c r="H27" s="27">
        <f>D27*G27</f>
        <v>5815.68</v>
      </c>
      <c r="I27" s="32">
        <v>1211.5</v>
      </c>
      <c r="J27" s="29">
        <f>H27*I27</f>
        <v>7045696.32</v>
      </c>
      <c r="K27" s="23"/>
    </row>
    <row r="28" ht="16" customHeight="1">
      <c r="A28" s="10"/>
      <c r="B28" t="s" s="16">
        <v>40</v>
      </c>
      <c r="C28" s="24">
        <v>44627</v>
      </c>
      <c r="D28" s="31">
        <v>338</v>
      </c>
      <c r="E28" s="26">
        <v>20.7</v>
      </c>
      <c r="F28" s="26">
        <v>1.99</v>
      </c>
      <c r="G28" s="27">
        <f>E28-F28</f>
        <v>18.71</v>
      </c>
      <c r="H28" s="27">
        <f>D28*G28</f>
        <v>6323.98</v>
      </c>
      <c r="I28" s="32">
        <v>1211.5</v>
      </c>
      <c r="J28" s="29">
        <f>H28*I28</f>
        <v>7661501.77</v>
      </c>
      <c r="K28" s="23"/>
    </row>
    <row r="29" ht="16" customHeight="1">
      <c r="A29" s="10"/>
      <c r="B29" t="s" s="16">
        <v>41</v>
      </c>
      <c r="C29" s="24">
        <v>44627</v>
      </c>
      <c r="D29" s="31">
        <v>188</v>
      </c>
      <c r="E29" s="26">
        <v>20.7</v>
      </c>
      <c r="F29" s="26">
        <v>1.98</v>
      </c>
      <c r="G29" s="27">
        <f>E29-F29</f>
        <v>18.72</v>
      </c>
      <c r="H29" s="27">
        <f>D29*G29</f>
        <v>3519.36</v>
      </c>
      <c r="I29" s="32">
        <v>1211.5</v>
      </c>
      <c r="J29" s="29">
        <f>H29*I29</f>
        <v>4263704.64</v>
      </c>
      <c r="K29" s="23"/>
    </row>
    <row r="30" ht="16" customHeight="1">
      <c r="A30" s="10"/>
      <c r="B30" t="s" s="16">
        <v>42</v>
      </c>
      <c r="C30" s="24">
        <v>44902</v>
      </c>
      <c r="D30" s="31">
        <v>939</v>
      </c>
      <c r="E30" s="26">
        <v>17.82</v>
      </c>
      <c r="F30" s="26">
        <v>2.06</v>
      </c>
      <c r="G30" s="27">
        <f>E30-F30</f>
        <v>15.76</v>
      </c>
      <c r="H30" s="27">
        <f>D30*G30</f>
        <v>14798.64</v>
      </c>
      <c r="I30" s="32">
        <v>1309</v>
      </c>
      <c r="J30" s="29">
        <f>H30*I30</f>
        <v>19371419.76</v>
      </c>
      <c r="K30" s="23"/>
    </row>
    <row r="31" ht="16" customHeight="1">
      <c r="A31" s="10"/>
      <c r="B31" t="s" s="16">
        <v>43</v>
      </c>
      <c r="C31" s="24">
        <v>44902</v>
      </c>
      <c r="D31" s="31">
        <v>1014</v>
      </c>
      <c r="E31" s="26">
        <v>17.82</v>
      </c>
      <c r="F31" s="26">
        <v>1.99</v>
      </c>
      <c r="G31" s="27">
        <f>E31-F31</f>
        <v>15.83</v>
      </c>
      <c r="H31" s="27">
        <f>D31*G31</f>
        <v>16051.62</v>
      </c>
      <c r="I31" s="32">
        <v>1309</v>
      </c>
      <c r="J31" s="29">
        <f>H31*I31</f>
        <v>21011570.58</v>
      </c>
      <c r="K31" s="23"/>
    </row>
    <row r="32" ht="16" customHeight="1">
      <c r="A32" s="33"/>
      <c r="B32" t="s" s="11">
        <v>44</v>
      </c>
      <c r="C32" s="14"/>
      <c r="D32" s="34">
        <f>SUM(D15:D31)</f>
        <v>12436</v>
      </c>
      <c r="E32" s="34"/>
      <c r="F32" s="34"/>
      <c r="G32" s="34"/>
      <c r="H32" s="35">
        <f>SUM(H15:H23)</f>
        <v>120699.88</v>
      </c>
      <c r="I32" s="34"/>
      <c r="J32" s="34">
        <f>SUM(J15:J23)</f>
        <v>136184809.137</v>
      </c>
      <c r="K32" s="36"/>
    </row>
  </sheetData>
  <mergeCells count="17"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B13:B14"/>
    <mergeCell ref="C13:C14"/>
    <mergeCell ref="D13:D14"/>
    <mergeCell ref="E13:J13"/>
    <mergeCell ref="B32:C32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