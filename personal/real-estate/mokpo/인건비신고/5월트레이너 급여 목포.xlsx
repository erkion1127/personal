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esktop\급여\"/>
    </mc:Choice>
  </mc:AlternateContent>
  <xr:revisionPtr revIDLastSave="0" documentId="13_ncr:1_{384C4EBE-EE4B-4C2E-8FC0-C0A0950321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이준수" sheetId="18" r:id="rId1"/>
    <sheet name="한길수" sheetId="14" r:id="rId2"/>
    <sheet name="전민진" sheetId="15" r:id="rId3"/>
    <sheet name="박형선" sheetId="19" r:id="rId4"/>
  </sheets>
  <definedNames>
    <definedName name="_xlnm._FilterDatabase" localSheetId="3" hidden="1">박형선!$P$5:$P$20</definedName>
    <definedName name="_xlnm._FilterDatabase" localSheetId="0" hidden="1">이준수!$P$5:$P$25</definedName>
    <definedName name="_xlnm._FilterDatabase" localSheetId="2" hidden="1">전민진!$P$5:$P$20</definedName>
    <definedName name="_xlnm._FilterDatabase" localSheetId="1" hidden="1">한길수!$P$5:$P$20</definedName>
    <definedName name="_xlnm.Print_Area" localSheetId="3">박형선!$A$1:$R$45</definedName>
    <definedName name="_xlnm.Print_Area" localSheetId="0">이준수!$A$1:$R$54</definedName>
    <definedName name="_xlnm.Print_Area" localSheetId="2">전민진!$A$1:$R$45</definedName>
    <definedName name="_xlnm.Print_Area" localSheetId="1">한길수!$A$1:$R$45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8" l="1"/>
  <c r="F35" i="18"/>
  <c r="F26" i="18"/>
  <c r="I44" i="18"/>
  <c r="F22" i="18"/>
  <c r="F17" i="18"/>
  <c r="I17" i="18"/>
  <c r="J17" i="18" s="1"/>
  <c r="R17" i="18"/>
  <c r="F12" i="18"/>
  <c r="I12" i="18"/>
  <c r="J12" i="18" s="1"/>
  <c r="L12" i="18" s="1"/>
  <c r="N12" i="18" s="1"/>
  <c r="R12" i="18"/>
  <c r="N4" i="15"/>
  <c r="N5" i="15"/>
  <c r="N6" i="15"/>
  <c r="N7" i="15"/>
  <c r="N8" i="15"/>
  <c r="N9" i="15"/>
  <c r="N10" i="15"/>
  <c r="N11" i="15"/>
  <c r="N12" i="15"/>
  <c r="N13" i="15"/>
  <c r="N14" i="15"/>
  <c r="N15" i="15"/>
  <c r="L17" i="18" l="1"/>
  <c r="N17" i="18" s="1"/>
  <c r="R7" i="18"/>
  <c r="R8" i="18"/>
  <c r="R9" i="18"/>
  <c r="R10" i="18"/>
  <c r="R11" i="18"/>
  <c r="R13" i="18"/>
  <c r="R14" i="18"/>
  <c r="R15" i="18"/>
  <c r="R16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F7" i="18"/>
  <c r="I7" i="18"/>
  <c r="J7" i="18" s="1"/>
  <c r="L7" i="18" s="1"/>
  <c r="N7" i="18" s="1"/>
  <c r="F14" i="18" l="1"/>
  <c r="I14" i="18"/>
  <c r="J14" i="18" s="1"/>
  <c r="L14" i="18" s="1"/>
  <c r="N14" i="18" s="1"/>
  <c r="F45" i="18"/>
  <c r="I45" i="18"/>
  <c r="J45" i="18" s="1"/>
  <c r="L45" i="18" s="1"/>
  <c r="N45" i="18" s="1"/>
  <c r="I37" i="18"/>
  <c r="J37" i="18" s="1"/>
  <c r="L37" i="18" s="1"/>
  <c r="N37" i="18" s="1"/>
  <c r="F37" i="18"/>
  <c r="I16" i="18"/>
  <c r="J16" i="18" s="1"/>
  <c r="L16" i="18" s="1"/>
  <c r="N16" i="18" s="1"/>
  <c r="F16" i="18"/>
  <c r="F11" i="18"/>
  <c r="I11" i="18"/>
  <c r="J11" i="18" s="1"/>
  <c r="L11" i="18" s="1"/>
  <c r="N11" i="18" s="1"/>
  <c r="R9" i="15" l="1"/>
  <c r="R8" i="15"/>
  <c r="Q2" i="18"/>
  <c r="R36" i="18"/>
  <c r="I33" i="18"/>
  <c r="J33" i="18" s="1"/>
  <c r="L33" i="18" s="1"/>
  <c r="N33" i="18" s="1"/>
  <c r="I34" i="18"/>
  <c r="J34" i="18" s="1"/>
  <c r="L34" i="18" s="1"/>
  <c r="N34" i="18" s="1"/>
  <c r="I35" i="18"/>
  <c r="J35" i="18" s="1"/>
  <c r="L35" i="18" s="1"/>
  <c r="N35" i="18" s="1"/>
  <c r="F33" i="18"/>
  <c r="F34" i="18"/>
  <c r="F8" i="18" l="1"/>
  <c r="I8" i="18"/>
  <c r="J8" i="18" s="1"/>
  <c r="L8" i="18" s="1"/>
  <c r="N8" i="18" s="1"/>
  <c r="I45" i="19"/>
  <c r="J45" i="19" s="1"/>
  <c r="L45" i="19" s="1"/>
  <c r="N45" i="19" s="1"/>
  <c r="F45" i="19"/>
  <c r="J44" i="19"/>
  <c r="L44" i="19" s="1"/>
  <c r="N44" i="19" s="1"/>
  <c r="I44" i="19"/>
  <c r="F44" i="19"/>
  <c r="I43" i="19"/>
  <c r="J43" i="19" s="1"/>
  <c r="L43" i="19" s="1"/>
  <c r="N43" i="19" s="1"/>
  <c r="F43" i="19"/>
  <c r="J42" i="19"/>
  <c r="L42" i="19" s="1"/>
  <c r="N42" i="19" s="1"/>
  <c r="I42" i="19"/>
  <c r="F42" i="19"/>
  <c r="I41" i="19"/>
  <c r="J41" i="19" s="1"/>
  <c r="L41" i="19" s="1"/>
  <c r="N41" i="19" s="1"/>
  <c r="F41" i="19"/>
  <c r="J40" i="19"/>
  <c r="L40" i="19" s="1"/>
  <c r="N40" i="19" s="1"/>
  <c r="I40" i="19"/>
  <c r="F40" i="19"/>
  <c r="I39" i="19"/>
  <c r="J39" i="19" s="1"/>
  <c r="L39" i="19" s="1"/>
  <c r="N39" i="19" s="1"/>
  <c r="F39" i="19"/>
  <c r="J38" i="19"/>
  <c r="L38" i="19" s="1"/>
  <c r="N38" i="19" s="1"/>
  <c r="I38" i="19"/>
  <c r="F38" i="19"/>
  <c r="I37" i="19"/>
  <c r="J37" i="19" s="1"/>
  <c r="L37" i="19" s="1"/>
  <c r="N37" i="19" s="1"/>
  <c r="F37" i="19"/>
  <c r="J36" i="19"/>
  <c r="L36" i="19" s="1"/>
  <c r="N36" i="19" s="1"/>
  <c r="I36" i="19"/>
  <c r="F36" i="19"/>
  <c r="J35" i="19"/>
  <c r="L35" i="19" s="1"/>
  <c r="N35" i="19" s="1"/>
  <c r="I35" i="19"/>
  <c r="F35" i="19"/>
  <c r="I34" i="19"/>
  <c r="J34" i="19" s="1"/>
  <c r="L34" i="19" s="1"/>
  <c r="N34" i="19" s="1"/>
  <c r="F34" i="19"/>
  <c r="I33" i="19"/>
  <c r="J33" i="19" s="1"/>
  <c r="L33" i="19" s="1"/>
  <c r="N33" i="19" s="1"/>
  <c r="F33" i="19"/>
  <c r="J32" i="19"/>
  <c r="L32" i="19" s="1"/>
  <c r="N32" i="19" s="1"/>
  <c r="I32" i="19"/>
  <c r="F32" i="19"/>
  <c r="I31" i="19"/>
  <c r="J31" i="19" s="1"/>
  <c r="L31" i="19" s="1"/>
  <c r="N31" i="19" s="1"/>
  <c r="F31" i="19"/>
  <c r="R30" i="19"/>
  <c r="I30" i="19"/>
  <c r="J30" i="19" s="1"/>
  <c r="L30" i="19" s="1"/>
  <c r="N30" i="19" s="1"/>
  <c r="F30" i="19"/>
  <c r="J29" i="19"/>
  <c r="L29" i="19" s="1"/>
  <c r="N29" i="19" s="1"/>
  <c r="I29" i="19"/>
  <c r="F29" i="19"/>
  <c r="R28" i="19"/>
  <c r="J28" i="19"/>
  <c r="L28" i="19" s="1"/>
  <c r="N28" i="19" s="1"/>
  <c r="I28" i="19"/>
  <c r="F28" i="19"/>
  <c r="R27" i="19"/>
  <c r="J27" i="19"/>
  <c r="L27" i="19" s="1"/>
  <c r="N27" i="19" s="1"/>
  <c r="I27" i="19"/>
  <c r="F27" i="19"/>
  <c r="R26" i="19"/>
  <c r="J26" i="19"/>
  <c r="L26" i="19" s="1"/>
  <c r="N26" i="19" s="1"/>
  <c r="I26" i="19"/>
  <c r="F26" i="19"/>
  <c r="R25" i="19"/>
  <c r="J25" i="19"/>
  <c r="L25" i="19" s="1"/>
  <c r="N25" i="19" s="1"/>
  <c r="I25" i="19"/>
  <c r="F25" i="19"/>
  <c r="R24" i="19"/>
  <c r="J24" i="19"/>
  <c r="L24" i="19" s="1"/>
  <c r="N24" i="19" s="1"/>
  <c r="I24" i="19"/>
  <c r="F24" i="19"/>
  <c r="R23" i="19"/>
  <c r="J23" i="19"/>
  <c r="L23" i="19" s="1"/>
  <c r="N23" i="19" s="1"/>
  <c r="I23" i="19"/>
  <c r="F23" i="19"/>
  <c r="R22" i="19"/>
  <c r="J22" i="19"/>
  <c r="L22" i="19" s="1"/>
  <c r="N22" i="19" s="1"/>
  <c r="I22" i="19"/>
  <c r="F22" i="19"/>
  <c r="R21" i="19"/>
  <c r="J21" i="19"/>
  <c r="L21" i="19" s="1"/>
  <c r="N21" i="19" s="1"/>
  <c r="I21" i="19"/>
  <c r="F21" i="19"/>
  <c r="R20" i="19"/>
  <c r="J20" i="19"/>
  <c r="L20" i="19" s="1"/>
  <c r="N20" i="19" s="1"/>
  <c r="I20" i="19"/>
  <c r="F20" i="19"/>
  <c r="R19" i="19"/>
  <c r="J19" i="19"/>
  <c r="L19" i="19" s="1"/>
  <c r="N19" i="19" s="1"/>
  <c r="I19" i="19"/>
  <c r="F19" i="19"/>
  <c r="R18" i="19"/>
  <c r="J18" i="19"/>
  <c r="L18" i="19" s="1"/>
  <c r="N18" i="19" s="1"/>
  <c r="I18" i="19"/>
  <c r="F18" i="19"/>
  <c r="R17" i="19"/>
  <c r="J17" i="19"/>
  <c r="L17" i="19" s="1"/>
  <c r="N17" i="19" s="1"/>
  <c r="I17" i="19"/>
  <c r="F17" i="19"/>
  <c r="R16" i="19"/>
  <c r="J16" i="19"/>
  <c r="L16" i="19" s="1"/>
  <c r="N16" i="19" s="1"/>
  <c r="I16" i="19"/>
  <c r="F16" i="19"/>
  <c r="R15" i="19"/>
  <c r="I15" i="19"/>
  <c r="J15" i="19" s="1"/>
  <c r="L15" i="19" s="1"/>
  <c r="N15" i="19" s="1"/>
  <c r="F15" i="19"/>
  <c r="R14" i="19"/>
  <c r="J14" i="19"/>
  <c r="L14" i="19" s="1"/>
  <c r="N14" i="19" s="1"/>
  <c r="I14" i="19"/>
  <c r="F14" i="19"/>
  <c r="R13" i="19"/>
  <c r="I13" i="19"/>
  <c r="J13" i="19" s="1"/>
  <c r="L13" i="19" s="1"/>
  <c r="N13" i="19" s="1"/>
  <c r="F13" i="19"/>
  <c r="R12" i="19"/>
  <c r="I12" i="19"/>
  <c r="J12" i="19" s="1"/>
  <c r="L12" i="19" s="1"/>
  <c r="N12" i="19" s="1"/>
  <c r="F12" i="19"/>
  <c r="R11" i="19"/>
  <c r="I11" i="19"/>
  <c r="J11" i="19" s="1"/>
  <c r="L11" i="19" s="1"/>
  <c r="N11" i="19" s="1"/>
  <c r="F11" i="19"/>
  <c r="R10" i="19"/>
  <c r="I10" i="19"/>
  <c r="J10" i="19" s="1"/>
  <c r="L10" i="19" s="1"/>
  <c r="N10" i="19" s="1"/>
  <c r="F10" i="19"/>
  <c r="R9" i="19"/>
  <c r="I9" i="19"/>
  <c r="J9" i="19" s="1"/>
  <c r="L9" i="19" s="1"/>
  <c r="N9" i="19" s="1"/>
  <c r="F9" i="19"/>
  <c r="R8" i="19"/>
  <c r="I8" i="19"/>
  <c r="J8" i="19" s="1"/>
  <c r="L8" i="19" s="1"/>
  <c r="N8" i="19" s="1"/>
  <c r="F8" i="19"/>
  <c r="R7" i="19"/>
  <c r="I7" i="19"/>
  <c r="J7" i="19" s="1"/>
  <c r="L7" i="19" s="1"/>
  <c r="N7" i="19" s="1"/>
  <c r="F7" i="19"/>
  <c r="R6" i="19"/>
  <c r="I6" i="19"/>
  <c r="J6" i="19" s="1"/>
  <c r="L6" i="19" s="1"/>
  <c r="N6" i="19" s="1"/>
  <c r="F6" i="19"/>
  <c r="R5" i="19"/>
  <c r="I5" i="19"/>
  <c r="J5" i="19" s="1"/>
  <c r="L5" i="19" s="1"/>
  <c r="N5" i="19" s="1"/>
  <c r="F5" i="19"/>
  <c r="I4" i="19"/>
  <c r="J4" i="19" s="1"/>
  <c r="F4" i="19"/>
  <c r="Q2" i="19"/>
  <c r="O2" i="19"/>
  <c r="M2" i="19"/>
  <c r="L2" i="19"/>
  <c r="K2" i="19"/>
  <c r="I54" i="18"/>
  <c r="J54" i="18" s="1"/>
  <c r="L54" i="18" s="1"/>
  <c r="N54" i="18" s="1"/>
  <c r="F54" i="18"/>
  <c r="I53" i="18"/>
  <c r="J53" i="18" s="1"/>
  <c r="L53" i="18" s="1"/>
  <c r="N53" i="18" s="1"/>
  <c r="F53" i="18"/>
  <c r="I52" i="18"/>
  <c r="J52" i="18" s="1"/>
  <c r="L52" i="18" s="1"/>
  <c r="N52" i="18" s="1"/>
  <c r="F52" i="18"/>
  <c r="I51" i="18"/>
  <c r="J51" i="18" s="1"/>
  <c r="L51" i="18" s="1"/>
  <c r="N51" i="18" s="1"/>
  <c r="F51" i="18"/>
  <c r="I50" i="18"/>
  <c r="J50" i="18" s="1"/>
  <c r="L50" i="18" s="1"/>
  <c r="N50" i="18" s="1"/>
  <c r="F50" i="18"/>
  <c r="I49" i="18"/>
  <c r="J49" i="18" s="1"/>
  <c r="L49" i="18" s="1"/>
  <c r="N49" i="18" s="1"/>
  <c r="F49" i="18"/>
  <c r="I48" i="18"/>
  <c r="J48" i="18" s="1"/>
  <c r="L48" i="18" s="1"/>
  <c r="N48" i="18" s="1"/>
  <c r="F48" i="18"/>
  <c r="I47" i="18"/>
  <c r="J47" i="18" s="1"/>
  <c r="L47" i="18" s="1"/>
  <c r="N47" i="18" s="1"/>
  <c r="F47" i="18"/>
  <c r="I46" i="18"/>
  <c r="J46" i="18" s="1"/>
  <c r="L46" i="18" s="1"/>
  <c r="N46" i="18" s="1"/>
  <c r="F46" i="18"/>
  <c r="J44" i="18"/>
  <c r="L44" i="18" s="1"/>
  <c r="N44" i="18" s="1"/>
  <c r="F44" i="18"/>
  <c r="I43" i="18"/>
  <c r="J43" i="18" s="1"/>
  <c r="L43" i="18" s="1"/>
  <c r="N43" i="18" s="1"/>
  <c r="F43" i="18"/>
  <c r="I42" i="18"/>
  <c r="J42" i="18" s="1"/>
  <c r="L42" i="18" s="1"/>
  <c r="N42" i="18" s="1"/>
  <c r="I41" i="18"/>
  <c r="J41" i="18" s="1"/>
  <c r="L41" i="18" s="1"/>
  <c r="N41" i="18" s="1"/>
  <c r="F41" i="18"/>
  <c r="I40" i="18"/>
  <c r="J40" i="18" s="1"/>
  <c r="L40" i="18" s="1"/>
  <c r="N40" i="18" s="1"/>
  <c r="F40" i="18"/>
  <c r="I39" i="18"/>
  <c r="J39" i="18" s="1"/>
  <c r="L39" i="18" s="1"/>
  <c r="N39" i="18" s="1"/>
  <c r="I38" i="18"/>
  <c r="J38" i="18" s="1"/>
  <c r="L38" i="18" s="1"/>
  <c r="N38" i="18" s="1"/>
  <c r="F38" i="18"/>
  <c r="R39" i="18"/>
  <c r="I36" i="18"/>
  <c r="J36" i="18" s="1"/>
  <c r="L36" i="18" s="1"/>
  <c r="N36" i="18" s="1"/>
  <c r="I32" i="18"/>
  <c r="J32" i="18" s="1"/>
  <c r="L32" i="18" s="1"/>
  <c r="N32" i="18" s="1"/>
  <c r="F32" i="18"/>
  <c r="I31" i="18"/>
  <c r="J31" i="18" s="1"/>
  <c r="L31" i="18" s="1"/>
  <c r="N31" i="18" s="1"/>
  <c r="F31" i="18"/>
  <c r="I30" i="18"/>
  <c r="J30" i="18" s="1"/>
  <c r="L30" i="18" s="1"/>
  <c r="N30" i="18" s="1"/>
  <c r="F30" i="18"/>
  <c r="I29" i="18"/>
  <c r="J29" i="18" s="1"/>
  <c r="L29" i="18" s="1"/>
  <c r="N29" i="18" s="1"/>
  <c r="F29" i="18"/>
  <c r="I28" i="18"/>
  <c r="J28" i="18" s="1"/>
  <c r="L28" i="18" s="1"/>
  <c r="N28" i="18" s="1"/>
  <c r="F28" i="18"/>
  <c r="I27" i="18"/>
  <c r="J27" i="18" s="1"/>
  <c r="L27" i="18" s="1"/>
  <c r="N27" i="18" s="1"/>
  <c r="F27" i="18"/>
  <c r="I26" i="18"/>
  <c r="J26" i="18" s="1"/>
  <c r="L26" i="18" s="1"/>
  <c r="N26" i="18" s="1"/>
  <c r="I25" i="18"/>
  <c r="J25" i="18" s="1"/>
  <c r="L25" i="18" s="1"/>
  <c r="N25" i="18" s="1"/>
  <c r="F25" i="18"/>
  <c r="I24" i="18"/>
  <c r="J24" i="18" s="1"/>
  <c r="L24" i="18" s="1"/>
  <c r="N24" i="18" s="1"/>
  <c r="F24" i="18"/>
  <c r="I23" i="18"/>
  <c r="J23" i="18" s="1"/>
  <c r="L23" i="18" s="1"/>
  <c r="N23" i="18" s="1"/>
  <c r="F23" i="18"/>
  <c r="I22" i="18"/>
  <c r="J22" i="18" s="1"/>
  <c r="L22" i="18" s="1"/>
  <c r="N22" i="18" s="1"/>
  <c r="I21" i="18"/>
  <c r="J21" i="18" s="1"/>
  <c r="L21" i="18" s="1"/>
  <c r="N21" i="18" s="1"/>
  <c r="F21" i="18"/>
  <c r="I20" i="18"/>
  <c r="F20" i="18"/>
  <c r="I19" i="18"/>
  <c r="J19" i="18" s="1"/>
  <c r="L19" i="18" s="1"/>
  <c r="N19" i="18" s="1"/>
  <c r="F19" i="18"/>
  <c r="I18" i="18"/>
  <c r="J18" i="18" s="1"/>
  <c r="L18" i="18" s="1"/>
  <c r="N18" i="18" s="1"/>
  <c r="F18" i="18"/>
  <c r="I15" i="18"/>
  <c r="J15" i="18" s="1"/>
  <c r="L15" i="18" s="1"/>
  <c r="N15" i="18" s="1"/>
  <c r="F15" i="18"/>
  <c r="I13" i="18"/>
  <c r="J13" i="18" s="1"/>
  <c r="L13" i="18" s="1"/>
  <c r="N13" i="18" s="1"/>
  <c r="F13" i="18"/>
  <c r="I10" i="18"/>
  <c r="J10" i="18" s="1"/>
  <c r="L10" i="18" s="1"/>
  <c r="N10" i="18" s="1"/>
  <c r="F10" i="18"/>
  <c r="I9" i="18"/>
  <c r="J9" i="18" s="1"/>
  <c r="L9" i="18" s="1"/>
  <c r="N9" i="18" s="1"/>
  <c r="F9" i="18"/>
  <c r="R6" i="18"/>
  <c r="I6" i="18"/>
  <c r="J6" i="18" s="1"/>
  <c r="L6" i="18" s="1"/>
  <c r="N6" i="18" s="1"/>
  <c r="F6" i="18"/>
  <c r="R5" i="18"/>
  <c r="I5" i="18"/>
  <c r="J5" i="18" s="1"/>
  <c r="L5" i="18" s="1"/>
  <c r="N5" i="18" s="1"/>
  <c r="I4" i="18"/>
  <c r="J4" i="18" s="1"/>
  <c r="O2" i="18"/>
  <c r="M2" i="18"/>
  <c r="L2" i="18"/>
  <c r="K2" i="18"/>
  <c r="I45" i="15"/>
  <c r="J45" i="15" s="1"/>
  <c r="L45" i="15" s="1"/>
  <c r="N45" i="15" s="1"/>
  <c r="F45" i="15"/>
  <c r="I44" i="15"/>
  <c r="J44" i="15" s="1"/>
  <c r="L44" i="15" s="1"/>
  <c r="N44" i="15" s="1"/>
  <c r="F44" i="15"/>
  <c r="J43" i="15"/>
  <c r="L43" i="15" s="1"/>
  <c r="N43" i="15" s="1"/>
  <c r="I43" i="15"/>
  <c r="F43" i="15"/>
  <c r="L42" i="15"/>
  <c r="N42" i="15" s="1"/>
  <c r="J42" i="15"/>
  <c r="I42" i="15"/>
  <c r="F42" i="15"/>
  <c r="N41" i="15"/>
  <c r="L41" i="15"/>
  <c r="J41" i="15"/>
  <c r="I41" i="15"/>
  <c r="F41" i="15"/>
  <c r="I40" i="15"/>
  <c r="J40" i="15" s="1"/>
  <c r="L40" i="15" s="1"/>
  <c r="N40" i="15" s="1"/>
  <c r="F40" i="15"/>
  <c r="J39" i="15"/>
  <c r="L39" i="15" s="1"/>
  <c r="N39" i="15" s="1"/>
  <c r="I39" i="15"/>
  <c r="F39" i="15"/>
  <c r="L38" i="15"/>
  <c r="N38" i="15" s="1"/>
  <c r="J38" i="15"/>
  <c r="I38" i="15"/>
  <c r="F38" i="15"/>
  <c r="N37" i="15"/>
  <c r="L37" i="15"/>
  <c r="J37" i="15"/>
  <c r="I37" i="15"/>
  <c r="F37" i="15"/>
  <c r="I36" i="15"/>
  <c r="J36" i="15" s="1"/>
  <c r="L36" i="15" s="1"/>
  <c r="N36" i="15" s="1"/>
  <c r="F36" i="15"/>
  <c r="L35" i="15"/>
  <c r="N35" i="15" s="1"/>
  <c r="J35" i="15"/>
  <c r="I35" i="15"/>
  <c r="F35" i="15"/>
  <c r="N34" i="15"/>
  <c r="L34" i="15"/>
  <c r="J34" i="15"/>
  <c r="I34" i="15"/>
  <c r="F34" i="15"/>
  <c r="I33" i="15"/>
  <c r="J33" i="15" s="1"/>
  <c r="L33" i="15" s="1"/>
  <c r="N33" i="15" s="1"/>
  <c r="F33" i="15"/>
  <c r="J32" i="15"/>
  <c r="L32" i="15" s="1"/>
  <c r="N32" i="15" s="1"/>
  <c r="I32" i="15"/>
  <c r="F32" i="15"/>
  <c r="L31" i="15"/>
  <c r="N31" i="15" s="1"/>
  <c r="J31" i="15"/>
  <c r="I31" i="15"/>
  <c r="F31" i="15"/>
  <c r="I30" i="15"/>
  <c r="J30" i="15" s="1"/>
  <c r="L30" i="15" s="1"/>
  <c r="N30" i="15" s="1"/>
  <c r="F30" i="15"/>
  <c r="J29" i="15"/>
  <c r="L29" i="15" s="1"/>
  <c r="N29" i="15" s="1"/>
  <c r="I29" i="15"/>
  <c r="F29" i="15"/>
  <c r="R28" i="15"/>
  <c r="R30" i="15" s="1"/>
  <c r="I28" i="15"/>
  <c r="J28" i="15" s="1"/>
  <c r="L28" i="15" s="1"/>
  <c r="N28" i="15" s="1"/>
  <c r="F28" i="15"/>
  <c r="R27" i="15"/>
  <c r="J27" i="15"/>
  <c r="L27" i="15" s="1"/>
  <c r="N27" i="15" s="1"/>
  <c r="I27" i="15"/>
  <c r="F27" i="15"/>
  <c r="R26" i="15"/>
  <c r="I26" i="15"/>
  <c r="J26" i="15" s="1"/>
  <c r="L26" i="15" s="1"/>
  <c r="N26" i="15" s="1"/>
  <c r="F26" i="15"/>
  <c r="R25" i="15"/>
  <c r="J25" i="15"/>
  <c r="L25" i="15" s="1"/>
  <c r="N25" i="15" s="1"/>
  <c r="I25" i="15"/>
  <c r="F25" i="15"/>
  <c r="R24" i="15"/>
  <c r="I24" i="15"/>
  <c r="J24" i="15" s="1"/>
  <c r="L24" i="15" s="1"/>
  <c r="N24" i="15" s="1"/>
  <c r="F24" i="15"/>
  <c r="R23" i="15"/>
  <c r="J23" i="15"/>
  <c r="L23" i="15" s="1"/>
  <c r="N23" i="15" s="1"/>
  <c r="I23" i="15"/>
  <c r="F23" i="15"/>
  <c r="R22" i="15"/>
  <c r="I22" i="15"/>
  <c r="J22" i="15" s="1"/>
  <c r="L22" i="15" s="1"/>
  <c r="N22" i="15" s="1"/>
  <c r="F22" i="15"/>
  <c r="R21" i="15"/>
  <c r="J21" i="15"/>
  <c r="L21" i="15" s="1"/>
  <c r="N21" i="15" s="1"/>
  <c r="I21" i="15"/>
  <c r="F21" i="15"/>
  <c r="R20" i="15"/>
  <c r="I20" i="15"/>
  <c r="J20" i="15" s="1"/>
  <c r="L20" i="15" s="1"/>
  <c r="N20" i="15" s="1"/>
  <c r="F20" i="15"/>
  <c r="R19" i="15"/>
  <c r="J19" i="15"/>
  <c r="L19" i="15" s="1"/>
  <c r="N19" i="15" s="1"/>
  <c r="I19" i="15"/>
  <c r="F19" i="15"/>
  <c r="R18" i="15"/>
  <c r="I18" i="15"/>
  <c r="J18" i="15" s="1"/>
  <c r="L18" i="15" s="1"/>
  <c r="N18" i="15" s="1"/>
  <c r="F18" i="15"/>
  <c r="R17" i="15"/>
  <c r="J17" i="15"/>
  <c r="L17" i="15" s="1"/>
  <c r="N17" i="15" s="1"/>
  <c r="I17" i="15"/>
  <c r="F17" i="15"/>
  <c r="R16" i="15"/>
  <c r="I16" i="15"/>
  <c r="J16" i="15" s="1"/>
  <c r="L16" i="15" s="1"/>
  <c r="N16" i="15" s="1"/>
  <c r="F16" i="15"/>
  <c r="R15" i="15"/>
  <c r="R14" i="15"/>
  <c r="R13" i="15"/>
  <c r="R12" i="15"/>
  <c r="R11" i="15"/>
  <c r="R10" i="15"/>
  <c r="R7" i="15"/>
  <c r="R6" i="15"/>
  <c r="R5" i="15"/>
  <c r="Q2" i="15"/>
  <c r="O2" i="15"/>
  <c r="M2" i="15"/>
  <c r="L2" i="15"/>
  <c r="K2" i="15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5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" i="14"/>
  <c r="J20" i="18" l="1"/>
  <c r="L20" i="18" s="1"/>
  <c r="N20" i="18" s="1"/>
  <c r="R2" i="19"/>
  <c r="P2" i="19"/>
  <c r="R2" i="18"/>
  <c r="R2" i="15"/>
  <c r="P2" i="15"/>
  <c r="L4" i="19"/>
  <c r="N4" i="19" s="1"/>
  <c r="R33" i="19" s="1"/>
  <c r="R35" i="19" s="1"/>
  <c r="N2" i="19"/>
  <c r="P2" i="18"/>
  <c r="L4" i="18"/>
  <c r="N4" i="18" s="1"/>
  <c r="N2" i="18"/>
  <c r="R33" i="15"/>
  <c r="N2" i="15"/>
  <c r="R2" i="14"/>
  <c r="Q2" i="14"/>
  <c r="R28" i="14"/>
  <c r="R30" i="14" s="1"/>
  <c r="J34" i="14"/>
  <c r="L34" i="14" s="1"/>
  <c r="N34" i="14" s="1"/>
  <c r="J35" i="14"/>
  <c r="L35" i="14" s="1"/>
  <c r="N35" i="14" s="1"/>
  <c r="J36" i="14"/>
  <c r="L36" i="14" s="1"/>
  <c r="N36" i="14" s="1"/>
  <c r="J37" i="14"/>
  <c r="L37" i="14" s="1"/>
  <c r="N37" i="14" s="1"/>
  <c r="J38" i="14"/>
  <c r="L38" i="14" s="1"/>
  <c r="N38" i="14" s="1"/>
  <c r="J39" i="14"/>
  <c r="L39" i="14" s="1"/>
  <c r="N39" i="14" s="1"/>
  <c r="J40" i="14"/>
  <c r="L40" i="14" s="1"/>
  <c r="N40" i="14" s="1"/>
  <c r="J41" i="14"/>
  <c r="L41" i="14" s="1"/>
  <c r="N41" i="14" s="1"/>
  <c r="J45" i="14"/>
  <c r="L45" i="14" s="1"/>
  <c r="N45" i="14" s="1"/>
  <c r="K2" i="14"/>
  <c r="L2" i="14"/>
  <c r="M2" i="14"/>
  <c r="O2" i="14"/>
  <c r="F44" i="14"/>
  <c r="J44" i="14"/>
  <c r="L44" i="14" s="1"/>
  <c r="N44" i="14" s="1"/>
  <c r="F45" i="14"/>
  <c r="J42" i="14"/>
  <c r="L42" i="14"/>
  <c r="N42" i="14" s="1"/>
  <c r="J43" i="14"/>
  <c r="L43" i="14" s="1"/>
  <c r="N43" i="14" s="1"/>
  <c r="F34" i="14"/>
  <c r="F35" i="14"/>
  <c r="F36" i="14"/>
  <c r="F37" i="14"/>
  <c r="F38" i="14"/>
  <c r="F39" i="14"/>
  <c r="F40" i="14"/>
  <c r="F41" i="14"/>
  <c r="F42" i="14"/>
  <c r="F43" i="14"/>
  <c r="R42" i="18" l="1"/>
  <c r="R44" i="18" s="1"/>
  <c r="R35" i="15"/>
  <c r="J18" i="14"/>
  <c r="L18" i="14" s="1"/>
  <c r="N18" i="14" s="1"/>
  <c r="J19" i="14"/>
  <c r="L19" i="14" s="1"/>
  <c r="N19" i="14" s="1"/>
  <c r="J20" i="14"/>
  <c r="L20" i="14" s="1"/>
  <c r="N20" i="14" s="1"/>
  <c r="J21" i="14"/>
  <c r="L21" i="14" s="1"/>
  <c r="N21" i="14" s="1"/>
  <c r="J22" i="14"/>
  <c r="L22" i="14" s="1"/>
  <c r="N22" i="14" s="1"/>
  <c r="J23" i="14"/>
  <c r="L23" i="14" s="1"/>
  <c r="N23" i="14" s="1"/>
  <c r="J24" i="14"/>
  <c r="L24" i="14" s="1"/>
  <c r="N24" i="14" s="1"/>
  <c r="J25" i="14"/>
  <c r="L25" i="14" s="1"/>
  <c r="N25" i="14" s="1"/>
  <c r="J26" i="14"/>
  <c r="L26" i="14" s="1"/>
  <c r="N26" i="14" s="1"/>
  <c r="J27" i="14"/>
  <c r="L27" i="14" s="1"/>
  <c r="N27" i="14" s="1"/>
  <c r="J28" i="14"/>
  <c r="L28" i="14" s="1"/>
  <c r="N28" i="14" s="1"/>
  <c r="J29" i="14"/>
  <c r="L29" i="14" s="1"/>
  <c r="N29" i="14" s="1"/>
  <c r="J30" i="14"/>
  <c r="L30" i="14" s="1"/>
  <c r="N30" i="14" s="1"/>
  <c r="J31" i="14"/>
  <c r="L31" i="14" s="1"/>
  <c r="N31" i="14" s="1"/>
  <c r="J32" i="14"/>
  <c r="L32" i="14" s="1"/>
  <c r="N32" i="14" s="1"/>
  <c r="J33" i="14"/>
  <c r="L33" i="14" s="1"/>
  <c r="N33" i="14" s="1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J17" i="14"/>
  <c r="L17" i="14" s="1"/>
  <c r="N17" i="14" s="1"/>
  <c r="F17" i="14"/>
  <c r="F11" i="14"/>
  <c r="F16" i="14"/>
  <c r="F12" i="14"/>
  <c r="J11" i="14"/>
  <c r="L11" i="14" s="1"/>
  <c r="N11" i="14" s="1"/>
  <c r="J10" i="14"/>
  <c r="L10" i="14" s="1"/>
  <c r="N10" i="14" s="1"/>
  <c r="F10" i="14"/>
  <c r="J9" i="14"/>
  <c r="L9" i="14" s="1"/>
  <c r="N9" i="14" s="1"/>
  <c r="F9" i="14"/>
  <c r="J8" i="14"/>
  <c r="L8" i="14" s="1"/>
  <c r="N8" i="14" s="1"/>
  <c r="F8" i="14"/>
  <c r="J7" i="14"/>
  <c r="L7" i="14" s="1"/>
  <c r="N7" i="14" s="1"/>
  <c r="F7" i="14"/>
  <c r="J6" i="14"/>
  <c r="L6" i="14" s="1"/>
  <c r="N6" i="14" s="1"/>
  <c r="F6" i="14"/>
  <c r="J5" i="14"/>
  <c r="L5" i="14" s="1"/>
  <c r="N5" i="14" s="1"/>
  <c r="J4" i="14"/>
  <c r="J16" i="14"/>
  <c r="L16" i="14" s="1"/>
  <c r="N16" i="14" s="1"/>
  <c r="J15" i="14"/>
  <c r="L15" i="14" s="1"/>
  <c r="N15" i="14" s="1"/>
  <c r="F15" i="14"/>
  <c r="J14" i="14"/>
  <c r="L14" i="14" s="1"/>
  <c r="N14" i="14" s="1"/>
  <c r="F14" i="14"/>
  <c r="J13" i="14"/>
  <c r="L13" i="14" s="1"/>
  <c r="N13" i="14" s="1"/>
  <c r="F13" i="14"/>
  <c r="J12" i="14"/>
  <c r="L12" i="14" s="1"/>
  <c r="N12" i="14" s="1"/>
  <c r="P2" i="14" l="1"/>
  <c r="N2" i="14"/>
  <c r="L4" i="14"/>
  <c r="N4" i="14" s="1"/>
  <c r="R33" i="14" l="1"/>
  <c r="R35" i="14" s="1"/>
</calcChain>
</file>

<file path=xl/sharedStrings.xml><?xml version="1.0" encoding="utf-8"?>
<sst xmlns="http://schemas.openxmlformats.org/spreadsheetml/2006/main" count="543" uniqueCount="175">
  <si>
    <t>NO.</t>
  </si>
  <si>
    <t>성별</t>
  </si>
  <si>
    <t>남</t>
  </si>
  <si>
    <t>회원명</t>
  </si>
  <si>
    <t>총 인원</t>
  </si>
  <si>
    <t>남은
세션</t>
  </si>
  <si>
    <t>이달의매출</t>
    <phoneticPr fontId="33" type="noConversion"/>
  </si>
  <si>
    <t>이름</t>
    <phoneticPr fontId="33" type="noConversion"/>
  </si>
  <si>
    <t>결제금액</t>
    <phoneticPr fontId="33" type="noConversion"/>
  </si>
  <si>
    <t>공금가액</t>
    <phoneticPr fontId="33" type="noConversion"/>
  </si>
  <si>
    <t>결제형태</t>
    <phoneticPr fontId="33" type="noConversion"/>
  </si>
  <si>
    <t>1회단가</t>
    <phoneticPr fontId="33" type="noConversion"/>
  </si>
  <si>
    <t>여</t>
    <phoneticPr fontId="33" type="noConversion"/>
  </si>
  <si>
    <t>매출대비%</t>
    <phoneticPr fontId="33" type="noConversion"/>
  </si>
  <si>
    <t>수업료</t>
    <phoneticPr fontId="33" type="noConversion"/>
  </si>
  <si>
    <t>등록비용</t>
    <phoneticPr fontId="33" type="noConversion"/>
  </si>
  <si>
    <t>인계 매출</t>
    <phoneticPr fontId="33" type="noConversion"/>
  </si>
  <si>
    <t>총 매출</t>
    <phoneticPr fontId="33" type="noConversion"/>
  </si>
  <si>
    <t>PT개인매출</t>
    <phoneticPr fontId="33" type="noConversion"/>
  </si>
  <si>
    <t>당월
진행세션</t>
    <phoneticPr fontId="33" type="noConversion"/>
  </si>
  <si>
    <t>등록세션</t>
    <phoneticPr fontId="33" type="noConversion"/>
  </si>
  <si>
    <t>(공급가)</t>
    <phoneticPr fontId="33" type="noConversion"/>
  </si>
  <si>
    <t>총 급여</t>
    <phoneticPr fontId="33" type="noConversion"/>
  </si>
  <si>
    <t xml:space="preserve">기본급+인센티브(11일) </t>
    <phoneticPr fontId="33" type="noConversion"/>
  </si>
  <si>
    <t>수업료(16일)</t>
    <phoneticPr fontId="33" type="noConversion"/>
  </si>
  <si>
    <t>작성자</t>
    <phoneticPr fontId="33" type="noConversion"/>
  </si>
  <si>
    <t>기준 월</t>
    <phoneticPr fontId="33" type="noConversion"/>
  </si>
  <si>
    <t>단가 평균</t>
    <phoneticPr fontId="33" type="noConversion"/>
  </si>
  <si>
    <t>수업료</t>
    <phoneticPr fontId="33" type="noConversion"/>
  </si>
  <si>
    <t>총 수업수</t>
    <phoneticPr fontId="33" type="noConversion"/>
  </si>
  <si>
    <t>잔여세션</t>
    <phoneticPr fontId="33" type="noConversion"/>
  </si>
  <si>
    <t>PAYROLL</t>
    <phoneticPr fontId="33" type="noConversion"/>
  </si>
  <si>
    <t>결제
형태</t>
    <phoneticPr fontId="33" type="noConversion"/>
  </si>
  <si>
    <t>개인매출/VAT</t>
    <phoneticPr fontId="33" type="noConversion"/>
  </si>
  <si>
    <t>개인매출</t>
    <phoneticPr fontId="33" type="noConversion"/>
  </si>
  <si>
    <t>현금</t>
    <phoneticPr fontId="33" type="noConversion"/>
  </si>
  <si>
    <t>카드</t>
    <phoneticPr fontId="33" type="noConversion"/>
  </si>
  <si>
    <t>총 진행
세션</t>
    <phoneticPr fontId="33" type="noConversion"/>
  </si>
  <si>
    <t>김혜연</t>
    <phoneticPr fontId="33" type="noConversion"/>
  </si>
  <si>
    <t>권영란</t>
    <phoneticPr fontId="33" type="noConversion"/>
  </si>
  <si>
    <t>고준혁</t>
    <phoneticPr fontId="33" type="noConversion"/>
  </si>
  <si>
    <t>남</t>
    <phoneticPr fontId="33" type="noConversion"/>
  </si>
  <si>
    <t>송은아</t>
    <phoneticPr fontId="33" type="noConversion"/>
  </si>
  <si>
    <t>이윤지</t>
    <phoneticPr fontId="33" type="noConversion"/>
  </si>
  <si>
    <t>정진희</t>
    <phoneticPr fontId="33" type="noConversion"/>
  </si>
  <si>
    <t>진우섭</t>
    <phoneticPr fontId="33" type="noConversion"/>
  </si>
  <si>
    <t>배순림</t>
    <phoneticPr fontId="33" type="noConversion"/>
  </si>
  <si>
    <t>이선영</t>
    <phoneticPr fontId="33" type="noConversion"/>
  </si>
  <si>
    <t>송지현</t>
    <phoneticPr fontId="33" type="noConversion"/>
  </si>
  <si>
    <t>김현</t>
    <phoneticPr fontId="33" type="noConversion"/>
  </si>
  <si>
    <t>김채은</t>
    <phoneticPr fontId="33" type="noConversion"/>
  </si>
  <si>
    <t>계좌</t>
    <phoneticPr fontId="33" type="noConversion"/>
  </si>
  <si>
    <t>이경림</t>
    <phoneticPr fontId="33" type="noConversion"/>
  </si>
  <si>
    <t>정욱</t>
    <phoneticPr fontId="33" type="noConversion"/>
  </si>
  <si>
    <t>김주홍</t>
    <phoneticPr fontId="33" type="noConversion"/>
  </si>
  <si>
    <t>김영훈</t>
    <phoneticPr fontId="33" type="noConversion"/>
  </si>
  <si>
    <t>김은진</t>
    <phoneticPr fontId="33" type="noConversion"/>
  </si>
  <si>
    <t>최진솔</t>
    <phoneticPr fontId="33" type="noConversion"/>
  </si>
  <si>
    <t>양다미</t>
    <phoneticPr fontId="33" type="noConversion"/>
  </si>
  <si>
    <t>나미라</t>
    <phoneticPr fontId="33" type="noConversion"/>
  </si>
  <si>
    <t>김지선</t>
    <phoneticPr fontId="33" type="noConversion"/>
  </si>
  <si>
    <t>김현서</t>
    <phoneticPr fontId="33" type="noConversion"/>
  </si>
  <si>
    <t>김수민</t>
    <phoneticPr fontId="33" type="noConversion"/>
  </si>
  <si>
    <t>백경락</t>
    <phoneticPr fontId="33" type="noConversion"/>
  </si>
  <si>
    <t>윤영문</t>
    <phoneticPr fontId="33" type="noConversion"/>
  </si>
  <si>
    <t>김세진</t>
    <phoneticPr fontId="33" type="noConversion"/>
  </si>
  <si>
    <t>윤지호</t>
    <phoneticPr fontId="33" type="noConversion"/>
  </si>
  <si>
    <t>조수안</t>
    <phoneticPr fontId="33" type="noConversion"/>
  </si>
  <si>
    <t>허송이</t>
    <phoneticPr fontId="33" type="noConversion"/>
  </si>
  <si>
    <t>김승현</t>
    <phoneticPr fontId="33" type="noConversion"/>
  </si>
  <si>
    <t>김동현</t>
    <phoneticPr fontId="33" type="noConversion"/>
  </si>
  <si>
    <t>정보윤</t>
    <phoneticPr fontId="33" type="noConversion"/>
  </si>
  <si>
    <t>안세림</t>
    <phoneticPr fontId="33" type="noConversion"/>
  </si>
  <si>
    <t>유현지</t>
    <phoneticPr fontId="33" type="noConversion"/>
  </si>
  <si>
    <t>윤아름</t>
    <phoneticPr fontId="33" type="noConversion"/>
  </si>
  <si>
    <t>조형선</t>
    <phoneticPr fontId="33" type="noConversion"/>
  </si>
  <si>
    <t>손영은</t>
    <phoneticPr fontId="33" type="noConversion"/>
  </si>
  <si>
    <t>서유진</t>
    <phoneticPr fontId="33" type="noConversion"/>
  </si>
  <si>
    <t>황보라</t>
    <phoneticPr fontId="33" type="noConversion"/>
  </si>
  <si>
    <t>안지훈</t>
    <phoneticPr fontId="33" type="noConversion"/>
  </si>
  <si>
    <t>송아현</t>
    <phoneticPr fontId="33" type="noConversion"/>
  </si>
  <si>
    <t>류아연</t>
    <phoneticPr fontId="33" type="noConversion"/>
  </si>
  <si>
    <t>최명호</t>
    <phoneticPr fontId="33" type="noConversion"/>
  </si>
  <si>
    <t>김대중</t>
    <phoneticPr fontId="33" type="noConversion"/>
  </si>
  <si>
    <t>이연지</t>
    <phoneticPr fontId="33" type="noConversion"/>
  </si>
  <si>
    <t>이준수</t>
    <phoneticPr fontId="33" type="noConversion"/>
  </si>
  <si>
    <t>김여진</t>
    <phoneticPr fontId="33" type="noConversion"/>
  </si>
  <si>
    <t>김경민</t>
    <phoneticPr fontId="33" type="noConversion"/>
  </si>
  <si>
    <t>김현숙</t>
    <phoneticPr fontId="33" type="noConversion"/>
  </si>
  <si>
    <t>김현정</t>
    <phoneticPr fontId="33" type="noConversion"/>
  </si>
  <si>
    <t>카드+계좌</t>
    <phoneticPr fontId="33" type="noConversion"/>
  </si>
  <si>
    <t>배혜린</t>
    <phoneticPr fontId="33" type="noConversion"/>
  </si>
  <si>
    <t>김희성</t>
    <phoneticPr fontId="33" type="noConversion"/>
  </si>
  <si>
    <t>추연미</t>
    <phoneticPr fontId="33" type="noConversion"/>
  </si>
  <si>
    <t>김승윤</t>
    <phoneticPr fontId="33" type="noConversion"/>
  </si>
  <si>
    <t>박남주</t>
    <phoneticPr fontId="33" type="noConversion"/>
  </si>
  <si>
    <t>김윤하</t>
    <phoneticPr fontId="33" type="noConversion"/>
  </si>
  <si>
    <t>김수철</t>
    <phoneticPr fontId="33" type="noConversion"/>
  </si>
  <si>
    <t>조혜선</t>
    <phoneticPr fontId="33" type="noConversion"/>
  </si>
  <si>
    <t>박지은</t>
    <phoneticPr fontId="33" type="noConversion"/>
  </si>
  <si>
    <t>전민진</t>
    <phoneticPr fontId="33" type="noConversion"/>
  </si>
  <si>
    <t>한길수</t>
    <phoneticPr fontId="33" type="noConversion"/>
  </si>
  <si>
    <t>박형선</t>
    <phoneticPr fontId="33" type="noConversion"/>
  </si>
  <si>
    <t>4월</t>
    <phoneticPr fontId="33" type="noConversion"/>
  </si>
  <si>
    <t>김도연</t>
    <phoneticPr fontId="33" type="noConversion"/>
  </si>
  <si>
    <t xml:space="preserve">기본급+인센티브(12일) </t>
    <phoneticPr fontId="33" type="noConversion"/>
  </si>
  <si>
    <t>수업료(17일)</t>
    <phoneticPr fontId="33" type="noConversion"/>
  </si>
  <si>
    <t>550만원미만달성 매출급여 90만원 40%</t>
    <phoneticPr fontId="33" type="noConversion"/>
  </si>
  <si>
    <t>550만원달성 매출급여 105만원 45%</t>
    <phoneticPr fontId="33" type="noConversion"/>
  </si>
  <si>
    <t>800만원달성 매출급여 120만원 50%</t>
    <phoneticPr fontId="33" type="noConversion"/>
  </si>
  <si>
    <t>1000만원달성 매출급여 135만원 50%</t>
    <phoneticPr fontId="33" type="noConversion"/>
  </si>
  <si>
    <t>1200만원달성 매출급여 160만원 50%</t>
    <phoneticPr fontId="33" type="noConversion"/>
  </si>
  <si>
    <t>1400만원달성 매출급여 180만원 50%</t>
    <phoneticPr fontId="33" type="noConversion"/>
  </si>
  <si>
    <t>1600만원달성 매출급여 200만원 50%</t>
    <phoneticPr fontId="33" type="noConversion"/>
  </si>
  <si>
    <t>1800만원달성 매출급여 220만원 50%</t>
    <phoneticPr fontId="33" type="noConversion"/>
  </si>
  <si>
    <t>2000만원달성 매출급여 240만원 50%</t>
    <phoneticPr fontId="33" type="noConversion"/>
  </si>
  <si>
    <t>황상은</t>
    <phoneticPr fontId="33" type="noConversion"/>
  </si>
  <si>
    <t>이미선</t>
    <phoneticPr fontId="33" type="noConversion"/>
  </si>
  <si>
    <t>한세정</t>
    <phoneticPr fontId="33" type="noConversion"/>
  </si>
  <si>
    <t>김태오</t>
    <phoneticPr fontId="33" type="noConversion"/>
  </si>
  <si>
    <t>정태윤</t>
    <phoneticPr fontId="33" type="noConversion"/>
  </si>
  <si>
    <t>박형주</t>
    <phoneticPr fontId="33" type="noConversion"/>
  </si>
  <si>
    <t>남정중</t>
    <phoneticPr fontId="33" type="noConversion"/>
  </si>
  <si>
    <t>박만숙</t>
    <phoneticPr fontId="33" type="noConversion"/>
  </si>
  <si>
    <t>윤수정</t>
    <phoneticPr fontId="33" type="noConversion"/>
  </si>
  <si>
    <t>박승자</t>
    <phoneticPr fontId="33" type="noConversion"/>
  </si>
  <si>
    <t>김진솔</t>
    <phoneticPr fontId="33" type="noConversion"/>
  </si>
  <si>
    <t>신수빈</t>
    <phoneticPr fontId="33" type="noConversion"/>
  </si>
  <si>
    <t>김윤기</t>
    <phoneticPr fontId="33" type="noConversion"/>
  </si>
  <si>
    <t>`</t>
    <phoneticPr fontId="33" type="noConversion"/>
  </si>
  <si>
    <t>서강영</t>
    <phoneticPr fontId="33" type="noConversion"/>
  </si>
  <si>
    <t>강나루</t>
    <phoneticPr fontId="33" type="noConversion"/>
  </si>
  <si>
    <t>이예빈</t>
    <phoneticPr fontId="33" type="noConversion"/>
  </si>
  <si>
    <t>550만원미만달성 매출급여 110만원 40%</t>
    <phoneticPr fontId="33" type="noConversion"/>
  </si>
  <si>
    <t>550만원달성 매출급여 125만원 45%</t>
    <phoneticPr fontId="33" type="noConversion"/>
  </si>
  <si>
    <t>800만원달성 매출급여 140만원 50%</t>
    <phoneticPr fontId="33" type="noConversion"/>
  </si>
  <si>
    <t>1000만원달성 매출급여 155만원 50%</t>
    <phoneticPr fontId="33" type="noConversion"/>
  </si>
  <si>
    <t>1200만원달성 매출급여 180만원 50%</t>
    <phoneticPr fontId="33" type="noConversion"/>
  </si>
  <si>
    <t>1400만원달성 매출급여 200만원 50%</t>
    <phoneticPr fontId="33" type="noConversion"/>
  </si>
  <si>
    <t>1600만원달성 매출급여 220만원 50%</t>
    <phoneticPr fontId="33" type="noConversion"/>
  </si>
  <si>
    <t>1800만원달성 매출급여 240만원 50%</t>
    <phoneticPr fontId="33" type="noConversion"/>
  </si>
  <si>
    <t>2000만원달성 매출급여 260만원 50%</t>
    <phoneticPr fontId="33" type="noConversion"/>
  </si>
  <si>
    <t>5월</t>
    <phoneticPr fontId="33" type="noConversion"/>
  </si>
  <si>
    <t>김중식</t>
    <phoneticPr fontId="33" type="noConversion"/>
  </si>
  <si>
    <t>김정호</t>
    <phoneticPr fontId="33" type="noConversion"/>
  </si>
  <si>
    <t>이소연</t>
    <phoneticPr fontId="33" type="noConversion"/>
  </si>
  <si>
    <t>최효순</t>
    <phoneticPr fontId="33" type="noConversion"/>
  </si>
  <si>
    <t>이하나</t>
    <phoneticPr fontId="33" type="noConversion"/>
  </si>
  <si>
    <t>박수현</t>
    <phoneticPr fontId="33" type="noConversion"/>
  </si>
  <si>
    <t>최은희</t>
    <phoneticPr fontId="33" type="noConversion"/>
  </si>
  <si>
    <t>김지현</t>
  </si>
  <si>
    <t>여</t>
  </si>
  <si>
    <t>카드</t>
  </si>
  <si>
    <t>박종호</t>
  </si>
  <si>
    <t>현금</t>
  </si>
  <si>
    <t>오갑석</t>
  </si>
  <si>
    <t>계좌</t>
  </si>
  <si>
    <t>정윤성</t>
  </si>
  <si>
    <t>이체</t>
  </si>
  <si>
    <t>정유라</t>
  </si>
  <si>
    <t>오미화</t>
  </si>
  <si>
    <t>이윤희</t>
  </si>
  <si>
    <t>김세령</t>
  </si>
  <si>
    <t>윤시연</t>
  </si>
  <si>
    <t>박영춘</t>
    <phoneticPr fontId="33" type="noConversion"/>
  </si>
  <si>
    <t>이현수</t>
    <phoneticPr fontId="33" type="noConversion"/>
  </si>
  <si>
    <t>장희주</t>
    <phoneticPr fontId="33" type="noConversion"/>
  </si>
  <si>
    <t>김형지</t>
    <phoneticPr fontId="33" type="noConversion"/>
  </si>
  <si>
    <t>손혜림</t>
    <phoneticPr fontId="33" type="noConversion"/>
  </si>
  <si>
    <t>박예지</t>
    <phoneticPr fontId="33" type="noConversion"/>
  </si>
  <si>
    <t>송지은</t>
    <phoneticPr fontId="33" type="noConversion"/>
  </si>
  <si>
    <t>김원배</t>
    <phoneticPr fontId="33" type="noConversion"/>
  </si>
  <si>
    <t>김세령</t>
    <phoneticPr fontId="33" type="noConversion"/>
  </si>
  <si>
    <t>윤시연</t>
    <phoneticPr fontId="33" type="noConversion"/>
  </si>
  <si>
    <t>박종호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</si>
</sst>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&quot;₩&quot;#,##0_);[Red]\(&quot;₩&quot;#,##0\)"/>
    <numFmt numFmtId="178" formatCode="#,##0_);\(#,##0\)"/>
    <numFmt numFmtId="179" formatCode="0&quot;명&quot;"/>
  </numFmts>
  <fonts count="54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4"/>
      <color rgb="FFC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FF00"/>
      <name val="굴림"/>
      <family val="3"/>
      <charset val="129"/>
    </font>
    <font>
      <b/>
      <sz val="11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rgb="FFFFFF00"/>
      <name val="돋움"/>
      <family val="3"/>
      <charset val="129"/>
    </font>
    <font>
      <sz val="11"/>
      <color rgb="FF9C0006"/>
      <name val="맑은 고딕"/>
      <family val="3"/>
      <charset val="129"/>
    </font>
    <font>
      <sz val="11"/>
      <color rgb="FF3F3F76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rgb="FF000000"/>
      <name val="돋움"/>
      <family val="3"/>
      <charset val="129"/>
    </font>
    <font>
      <b/>
      <sz val="36"/>
      <color theme="0"/>
      <name val="굴림"/>
      <family val="3"/>
      <charset val="129"/>
    </font>
    <font>
      <b/>
      <sz val="12"/>
      <color theme="0"/>
      <name val="굴림"/>
      <family val="3"/>
      <charset val="129"/>
    </font>
    <font>
      <b/>
      <sz val="12"/>
      <color theme="0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20"/>
      <color theme="0"/>
      <name val="굴림"/>
      <family val="3"/>
      <charset val="129"/>
    </font>
    <font>
      <b/>
      <sz val="12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CD5B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109">
    <xf numFmtId="0" fontId="0" fillId="0" borderId="0">
      <alignment vertical="center"/>
    </xf>
    <xf numFmtId="41" fontId="3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21" fillId="0" borderId="0">
      <alignment vertical="center"/>
    </xf>
    <xf numFmtId="0" fontId="25" fillId="0" borderId="0">
      <alignment vertical="center"/>
    </xf>
    <xf numFmtId="41" fontId="25" fillId="0" borderId="0">
      <alignment vertical="center"/>
    </xf>
    <xf numFmtId="0" fontId="25" fillId="0" borderId="0">
      <alignment vertical="center"/>
    </xf>
    <xf numFmtId="41" fontId="25" fillId="0" borderId="0">
      <alignment vertical="center"/>
    </xf>
    <xf numFmtId="0" fontId="25" fillId="8" borderId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5" fillId="8" borderId="0">
      <alignment vertical="center"/>
    </xf>
    <xf numFmtId="0" fontId="25" fillId="8" borderId="0">
      <alignment vertical="center"/>
    </xf>
    <xf numFmtId="0" fontId="25" fillId="8" borderId="0">
      <alignment vertical="center"/>
    </xf>
    <xf numFmtId="0" fontId="25" fillId="8" borderId="0">
      <alignment vertical="center"/>
    </xf>
    <xf numFmtId="0" fontId="25" fillId="8" borderId="0">
      <alignment vertical="center"/>
    </xf>
    <xf numFmtId="0" fontId="25" fillId="8" borderId="0">
      <alignment vertical="center"/>
    </xf>
    <xf numFmtId="0" fontId="25" fillId="8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10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0" fontId="43" fillId="9" borderId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>
      <alignment vertical="center"/>
    </xf>
    <xf numFmtId="41" fontId="25" fillId="0" borderId="0">
      <alignment vertical="center"/>
    </xf>
    <xf numFmtId="41" fontId="25" fillId="0" borderId="0">
      <alignment vertical="center"/>
    </xf>
    <xf numFmtId="41" fontId="25" fillId="0" borderId="0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44" fillId="11" borderId="5">
      <alignment vertical="center"/>
    </xf>
    <xf numFmtId="0" fontId="3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41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5" fillId="0" borderId="0">
      <alignment vertical="center"/>
    </xf>
    <xf numFmtId="41" fontId="25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5" fillId="0" borderId="0">
      <alignment vertical="center"/>
    </xf>
    <xf numFmtId="41" fontId="25" fillId="0" borderId="0">
      <alignment vertical="center"/>
    </xf>
    <xf numFmtId="41" fontId="25" fillId="0" borderId="0">
      <alignment vertical="center"/>
    </xf>
    <xf numFmtId="41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6" fillId="0" borderId="0" xfId="4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0" xfId="2">
      <alignment vertical="center"/>
    </xf>
    <xf numFmtId="0" fontId="40" fillId="0" borderId="1" xfId="0" applyFont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26" fillId="0" borderId="0" xfId="2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6" fillId="0" borderId="0" xfId="3">
      <alignment vertical="center"/>
    </xf>
    <xf numFmtId="0" fontId="45" fillId="6" borderId="1" xfId="0" applyFont="1" applyFill="1" applyBorder="1" applyAlignment="1">
      <alignment horizontal="center" vertical="center"/>
    </xf>
    <xf numFmtId="0" fontId="18" fillId="6" borderId="1" xfId="62" applyFont="1" applyFill="1" applyBorder="1" applyAlignment="1">
      <alignment horizontal="center" vertical="center"/>
    </xf>
    <xf numFmtId="0" fontId="40" fillId="6" borderId="3" xfId="0" applyFont="1" applyFill="1" applyBorder="1" applyAlignment="1">
      <alignment horizontal="right" vertical="center"/>
    </xf>
    <xf numFmtId="0" fontId="17" fillId="6" borderId="1" xfId="62" applyFont="1" applyFill="1" applyBorder="1" applyAlignment="1">
      <alignment horizontal="center" vertical="center"/>
    </xf>
    <xf numFmtId="0" fontId="16" fillId="6" borderId="1" xfId="62" applyFont="1" applyFill="1" applyBorder="1" applyAlignment="1">
      <alignment horizontal="center" vertical="center"/>
    </xf>
    <xf numFmtId="0" fontId="20" fillId="6" borderId="1" xfId="62" applyFont="1" applyFill="1" applyBorder="1" applyAlignment="1">
      <alignment horizontal="center" vertical="center"/>
    </xf>
    <xf numFmtId="0" fontId="19" fillId="6" borderId="1" xfId="62" applyFont="1" applyFill="1" applyBorder="1" applyAlignment="1">
      <alignment horizontal="center" vertical="center"/>
    </xf>
    <xf numFmtId="0" fontId="15" fillId="0" borderId="1" xfId="62" applyFont="1" applyBorder="1" applyAlignment="1">
      <alignment horizontal="center" vertical="center" wrapText="1"/>
    </xf>
    <xf numFmtId="0" fontId="14" fillId="0" borderId="1" xfId="62" applyFont="1" applyBorder="1" applyAlignment="1">
      <alignment horizontal="center" vertical="center"/>
    </xf>
    <xf numFmtId="0" fontId="40" fillId="6" borderId="3" xfId="0" applyFont="1" applyFill="1" applyBorder="1" applyAlignment="1">
      <alignment horizontal="center" vertical="center"/>
    </xf>
    <xf numFmtId="0" fontId="18" fillId="0" borderId="1" xfId="62" applyFont="1" applyBorder="1" applyAlignment="1">
      <alignment horizontal="center" vertical="center"/>
    </xf>
    <xf numFmtId="0" fontId="16" fillId="0" borderId="1" xfId="62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0" fillId="0" borderId="3" xfId="0" applyFont="1" applyBorder="1">
      <alignment vertical="center"/>
    </xf>
    <xf numFmtId="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41" fontId="32" fillId="2" borderId="1" xfId="1" applyFill="1" applyBorder="1">
      <alignment vertical="center"/>
    </xf>
    <xf numFmtId="0" fontId="28" fillId="0" borderId="2" xfId="0" applyFont="1" applyBorder="1" applyAlignment="1">
      <alignment horizontal="center" vertical="center"/>
    </xf>
    <xf numFmtId="0" fontId="40" fillId="6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41" fontId="32" fillId="2" borderId="2" xfId="1" applyFill="1" applyBorder="1">
      <alignment vertical="center"/>
    </xf>
    <xf numFmtId="0" fontId="40" fillId="6" borderId="4" xfId="0" applyFont="1" applyFill="1" applyBorder="1" applyAlignment="1">
      <alignment horizontal="center" vertical="center"/>
    </xf>
    <xf numFmtId="0" fontId="48" fillId="12" borderId="6" xfId="0" applyFont="1" applyFill="1" applyBorder="1" applyAlignment="1">
      <alignment horizontal="center" vertical="center"/>
    </xf>
    <xf numFmtId="0" fontId="48" fillId="12" borderId="6" xfId="0" applyFont="1" applyFill="1" applyBorder="1" applyAlignment="1">
      <alignment horizontal="center" vertical="center" wrapText="1"/>
    </xf>
    <xf numFmtId="0" fontId="48" fillId="12" borderId="8" xfId="0" applyFont="1" applyFill="1" applyBorder="1" applyAlignment="1">
      <alignment horizontal="center" vertical="center" wrapText="1"/>
    </xf>
    <xf numFmtId="176" fontId="48" fillId="12" borderId="8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9" fillId="12" borderId="6" xfId="2" applyFont="1" applyFill="1" applyBorder="1" applyAlignment="1">
      <alignment horizontal="center" vertical="center"/>
    </xf>
    <xf numFmtId="0" fontId="50" fillId="12" borderId="6" xfId="0" applyFont="1" applyFill="1" applyBorder="1" applyAlignment="1">
      <alignment horizontal="center" vertical="center" wrapText="1"/>
    </xf>
    <xf numFmtId="179" fontId="38" fillId="2" borderId="6" xfId="0" applyNumberFormat="1" applyFont="1" applyFill="1" applyBorder="1" applyAlignment="1">
      <alignment horizontal="center" vertical="center"/>
    </xf>
    <xf numFmtId="41" fontId="46" fillId="2" borderId="6" xfId="2" applyNumberFormat="1" applyFont="1" applyFill="1" applyBorder="1">
      <alignment vertical="center"/>
    </xf>
    <xf numFmtId="0" fontId="46" fillId="2" borderId="7" xfId="2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8" fillId="2" borderId="6" xfId="2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41" fontId="24" fillId="0" borderId="6" xfId="6" applyNumberFormat="1" applyFont="1" applyFill="1" applyBorder="1">
      <alignment vertical="center"/>
    </xf>
    <xf numFmtId="41" fontId="23" fillId="0" borderId="6" xfId="6" applyNumberFormat="1" applyFont="1" applyFill="1" applyBorder="1" applyAlignment="1">
      <alignment horizontal="center" vertical="center"/>
    </xf>
    <xf numFmtId="41" fontId="22" fillId="0" borderId="6" xfId="6" applyNumberFormat="1" applyFont="1" applyFill="1" applyBorder="1">
      <alignment vertical="center"/>
    </xf>
    <xf numFmtId="41" fontId="39" fillId="0" borderId="6" xfId="6" applyNumberFormat="1" applyFont="1" applyFill="1" applyBorder="1" applyAlignment="1">
      <alignment horizontal="center" vertical="center"/>
    </xf>
    <xf numFmtId="41" fontId="36" fillId="0" borderId="6" xfId="7" applyNumberFormat="1" applyFont="1" applyFill="1" applyBorder="1" applyAlignment="1">
      <alignment horizontal="center" vertical="center"/>
    </xf>
    <xf numFmtId="41" fontId="36" fillId="0" borderId="6" xfId="7" applyNumberFormat="1" applyFont="1" applyFill="1" applyBorder="1">
      <alignment vertical="center"/>
    </xf>
    <xf numFmtId="178" fontId="36" fillId="0" borderId="6" xfId="7" applyNumberFormat="1" applyFont="1" applyFill="1" applyBorder="1">
      <alignment vertical="center"/>
    </xf>
    <xf numFmtId="41" fontId="25" fillId="6" borderId="6" xfId="10" applyFill="1" applyBorder="1" applyAlignment="1">
      <alignment horizontal="center" vertical="center"/>
    </xf>
    <xf numFmtId="41" fontId="25" fillId="6" borderId="6" xfId="10" applyFill="1" applyBorder="1">
      <alignment vertical="center"/>
    </xf>
    <xf numFmtId="0" fontId="28" fillId="0" borderId="6" xfId="2" applyFont="1" applyBorder="1" applyAlignment="1">
      <alignment horizontal="center" vertical="center"/>
    </xf>
    <xf numFmtId="42" fontId="42" fillId="5" borderId="6" xfId="4" applyNumberFormat="1" applyFont="1" applyFill="1" applyBorder="1">
      <alignment vertical="center"/>
    </xf>
    <xf numFmtId="42" fontId="28" fillId="2" borderId="2" xfId="0" applyNumberFormat="1" applyFont="1" applyFill="1" applyBorder="1" applyAlignment="1">
      <alignment horizontal="center" vertical="center"/>
    </xf>
    <xf numFmtId="42" fontId="37" fillId="5" borderId="6" xfId="0" applyNumberFormat="1" applyFont="1" applyFill="1" applyBorder="1" applyAlignment="1">
      <alignment horizontal="center" vertical="center"/>
    </xf>
    <xf numFmtId="42" fontId="40" fillId="0" borderId="2" xfId="0" applyNumberFormat="1" applyFont="1" applyBorder="1" applyAlignment="1">
      <alignment horizontal="center" vertical="center"/>
    </xf>
    <xf numFmtId="42" fontId="40" fillId="0" borderId="1" xfId="0" applyNumberFormat="1" applyFont="1" applyBorder="1" applyAlignment="1">
      <alignment horizontal="center" vertical="center"/>
    </xf>
    <xf numFmtId="42" fontId="28" fillId="0" borderId="1" xfId="0" applyNumberFormat="1" applyFont="1" applyBorder="1" applyAlignment="1">
      <alignment horizontal="center" vertical="center"/>
    </xf>
    <xf numFmtId="42" fontId="28" fillId="6" borderId="1" xfId="0" applyNumberFormat="1" applyFont="1" applyFill="1" applyBorder="1" applyAlignment="1">
      <alignment horizontal="center" vertical="center"/>
    </xf>
    <xf numFmtId="42" fontId="32" fillId="2" borderId="2" xfId="1" applyNumberFormat="1" applyFill="1" applyBorder="1">
      <alignment vertical="center"/>
    </xf>
    <xf numFmtId="42" fontId="32" fillId="2" borderId="1" xfId="1" applyNumberFormat="1" applyFill="1" applyBorder="1">
      <alignment vertical="center"/>
    </xf>
    <xf numFmtId="42" fontId="32" fillId="2" borderId="4" xfId="1" applyNumberFormat="1" applyFill="1" applyBorder="1">
      <alignment vertical="center"/>
    </xf>
    <xf numFmtId="42" fontId="32" fillId="2" borderId="3" xfId="1" applyNumberFormat="1" applyFill="1" applyBorder="1">
      <alignment vertical="center"/>
    </xf>
    <xf numFmtId="9" fontId="49" fillId="12" borderId="6" xfId="2" applyNumberFormat="1" applyFont="1" applyFill="1" applyBorder="1" applyAlignment="1">
      <alignment horizontal="center" vertical="center"/>
    </xf>
    <xf numFmtId="42" fontId="26" fillId="2" borderId="6" xfId="2" applyNumberFormat="1" applyFill="1" applyBorder="1">
      <alignment vertical="center"/>
    </xf>
    <xf numFmtId="10" fontId="41" fillId="13" borderId="2" xfId="5" applyNumberFormat="1" applyFont="1" applyFill="1" applyBorder="1" applyAlignment="1">
      <alignment horizontal="center" vertical="center"/>
    </xf>
    <xf numFmtId="10" fontId="41" fillId="13" borderId="1" xfId="5" applyNumberFormat="1" applyFont="1" applyFill="1" applyBorder="1" applyAlignment="1">
      <alignment horizontal="center" vertical="center"/>
    </xf>
    <xf numFmtId="0" fontId="13" fillId="6" borderId="1" xfId="62" applyFont="1" applyFill="1" applyBorder="1" applyAlignment="1">
      <alignment horizontal="center" vertical="center"/>
    </xf>
    <xf numFmtId="0" fontId="12" fillId="6" borderId="2" xfId="62" applyFont="1" applyFill="1" applyBorder="1" applyAlignment="1">
      <alignment horizontal="center" vertical="center"/>
    </xf>
    <xf numFmtId="0" fontId="12" fillId="6" borderId="1" xfId="62" applyFont="1" applyFill="1" applyBorder="1" applyAlignment="1">
      <alignment horizontal="center" vertical="center"/>
    </xf>
    <xf numFmtId="0" fontId="12" fillId="0" borderId="1" xfId="62" applyFont="1" applyBorder="1" applyAlignment="1">
      <alignment horizontal="center" vertical="center" wrapText="1"/>
    </xf>
    <xf numFmtId="0" fontId="11" fillId="6" borderId="1" xfId="62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0" fillId="6" borderId="2" xfId="62" applyFont="1" applyFill="1" applyBorder="1" applyAlignment="1">
      <alignment horizontal="center" vertical="center"/>
    </xf>
    <xf numFmtId="0" fontId="10" fillId="6" borderId="1" xfId="62" applyFont="1" applyFill="1" applyBorder="1" applyAlignment="1">
      <alignment horizontal="center" vertical="center"/>
    </xf>
    <xf numFmtId="0" fontId="10" fillId="0" borderId="1" xfId="62" applyFont="1" applyBorder="1" applyAlignment="1">
      <alignment horizontal="center" vertical="center" wrapText="1"/>
    </xf>
    <xf numFmtId="0" fontId="10" fillId="0" borderId="1" xfId="62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41" fontId="38" fillId="0" borderId="6" xfId="6" applyNumberFormat="1" applyFont="1" applyFill="1" applyBorder="1" applyAlignment="1">
      <alignment horizontal="center" vertical="center"/>
    </xf>
    <xf numFmtId="0" fontId="9" fillId="6" borderId="2" xfId="62" applyFont="1" applyFill="1" applyBorder="1" applyAlignment="1">
      <alignment horizontal="center" vertical="center"/>
    </xf>
    <xf numFmtId="0" fontId="8" fillId="6" borderId="1" xfId="62" applyFont="1" applyFill="1" applyBorder="1" applyAlignment="1">
      <alignment horizontal="center" vertical="center"/>
    </xf>
    <xf numFmtId="0" fontId="37" fillId="5" borderId="6" xfId="2" applyFont="1" applyFill="1" applyBorder="1" applyAlignment="1">
      <alignment horizontal="center" vertical="center"/>
    </xf>
    <xf numFmtId="0" fontId="51" fillId="12" borderId="6" xfId="2" applyFont="1" applyFill="1" applyBorder="1" applyAlignment="1">
      <alignment horizontal="center" vertical="center"/>
    </xf>
    <xf numFmtId="42" fontId="53" fillId="2" borderId="6" xfId="0" applyNumberFormat="1" applyFont="1" applyFill="1" applyBorder="1" applyAlignment="1">
      <alignment horizontal="center" vertical="center"/>
    </xf>
    <xf numFmtId="0" fontId="7" fillId="0" borderId="1" xfId="62" applyFont="1" applyBorder="1" applyAlignment="1">
      <alignment horizontal="center" vertical="center" wrapText="1"/>
    </xf>
    <xf numFmtId="0" fontId="6" fillId="6" borderId="1" xfId="62" applyFont="1" applyFill="1" applyBorder="1" applyAlignment="1">
      <alignment horizontal="center" vertical="center"/>
    </xf>
    <xf numFmtId="0" fontId="6" fillId="0" borderId="1" xfId="62" applyFont="1" applyBorder="1" applyAlignment="1">
      <alignment horizontal="center" vertical="center"/>
    </xf>
    <xf numFmtId="0" fontId="6" fillId="6" borderId="2" xfId="62" applyFont="1" applyFill="1" applyBorder="1" applyAlignment="1">
      <alignment horizontal="center" vertical="center"/>
    </xf>
    <xf numFmtId="41" fontId="5" fillId="0" borderId="6" xfId="6" applyNumberFormat="1" applyFont="1" applyFill="1" applyBorder="1" applyAlignment="1">
      <alignment horizontal="center" vertical="center"/>
    </xf>
    <xf numFmtId="41" fontId="5" fillId="0" borderId="6" xfId="6" applyNumberFormat="1" applyFont="1" applyFill="1" applyBorder="1">
      <alignment vertical="center"/>
    </xf>
    <xf numFmtId="0" fontId="4" fillId="0" borderId="1" xfId="62" applyFont="1" applyBorder="1" applyAlignment="1">
      <alignment horizontal="center" vertical="center" wrapText="1"/>
    </xf>
    <xf numFmtId="0" fontId="4" fillId="6" borderId="1" xfId="62" applyFont="1" applyFill="1" applyBorder="1" applyAlignment="1">
      <alignment horizontal="center" vertical="center"/>
    </xf>
    <xf numFmtId="0" fontId="3" fillId="6" borderId="1" xfId="62" applyFont="1" applyFill="1" applyBorder="1" applyAlignment="1">
      <alignment horizontal="center" vertical="center"/>
    </xf>
    <xf numFmtId="0" fontId="3" fillId="0" borderId="1" xfId="62" applyFont="1" applyBorder="1" applyAlignment="1">
      <alignment horizontal="center" vertical="center"/>
    </xf>
    <xf numFmtId="6" fontId="32" fillId="2" borderId="2" xfId="1" applyNumberFormat="1" applyFill="1" applyBorder="1">
      <alignment vertical="center"/>
    </xf>
    <xf numFmtId="6" fontId="40" fillId="0" borderId="1" xfId="0" applyNumberFormat="1" applyFont="1" applyBorder="1" applyAlignment="1">
      <alignment horizontal="center" vertical="center"/>
    </xf>
    <xf numFmtId="6" fontId="32" fillId="2" borderId="1" xfId="1" applyNumberFormat="1" applyFill="1" applyBorder="1">
      <alignment vertical="center"/>
    </xf>
    <xf numFmtId="6" fontId="28" fillId="2" borderId="2" xfId="0" applyNumberFormat="1" applyFont="1" applyFill="1" applyBorder="1" applyAlignment="1">
      <alignment horizontal="center" vertical="center"/>
    </xf>
    <xf numFmtId="6" fontId="40" fillId="0" borderId="2" xfId="0" applyNumberFormat="1" applyFont="1" applyBorder="1" applyAlignment="1">
      <alignment horizontal="center" vertical="center"/>
    </xf>
    <xf numFmtId="0" fontId="47" fillId="12" borderId="6" xfId="0" applyFont="1" applyFill="1" applyBorder="1" applyAlignment="1">
      <alignment horizontal="center" vertical="center"/>
    </xf>
    <xf numFmtId="0" fontId="47" fillId="12" borderId="7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center" vertical="center" wrapText="1"/>
    </xf>
    <xf numFmtId="0" fontId="37" fillId="5" borderId="6" xfId="2" applyFont="1" applyFill="1" applyBorder="1" applyAlignment="1">
      <alignment horizontal="center" vertical="center"/>
    </xf>
    <xf numFmtId="0" fontId="26" fillId="0" borderId="0" xfId="3">
      <alignment vertical="center"/>
    </xf>
    <xf numFmtId="0" fontId="51" fillId="12" borderId="6" xfId="2" applyFont="1" applyFill="1" applyBorder="1" applyAlignment="1">
      <alignment horizontal="center" vertical="center"/>
    </xf>
    <xf numFmtId="42" fontId="53" fillId="2" borderId="6" xfId="1" applyNumberFormat="1" applyFont="1" applyFill="1" applyBorder="1" applyAlignment="1">
      <alignment horizontal="center" vertical="center"/>
    </xf>
    <xf numFmtId="42" fontId="53" fillId="13" borderId="6" xfId="1" applyNumberFormat="1" applyFont="1" applyFill="1" applyBorder="1" applyAlignment="1">
      <alignment horizontal="center" vertical="center"/>
    </xf>
    <xf numFmtId="0" fontId="26" fillId="0" borderId="0" xfId="2" applyAlignment="1">
      <alignment horizontal="center" vertical="center"/>
    </xf>
    <xf numFmtId="0" fontId="52" fillId="13" borderId="6" xfId="0" applyFont="1" applyFill="1" applyBorder="1" applyAlignment="1">
      <alignment horizontal="center" vertical="center"/>
    </xf>
    <xf numFmtId="42" fontId="53" fillId="2" borderId="6" xfId="0" applyNumberFormat="1" applyFont="1" applyFill="1" applyBorder="1" applyAlignment="1">
      <alignment horizontal="center" vertical="center"/>
    </xf>
    <xf numFmtId="41" fontId="1" fillId="0" borderId="6" xfId="6" applyNumberFormat="1" applyFont="1" applyFill="1" applyBorder="1" applyAlignment="1">
      <alignment horizontal="center" vertical="center"/>
    </xf>
    <xf numFmtId="41" fontId="1" fillId="0" borderId="6" xfId="6" applyNumberFormat="1" applyFont="1" applyFill="1" applyBorder="1">
      <alignment vertical="center"/>
    </xf>
    <xf numFmtId="0" fontId="1" fillId="6" borderId="1" xfId="62" applyFont="1" applyFill="1" applyBorder="1" applyAlignment="1">
      <alignment horizontal="center" vertical="center"/>
    </xf>
    <xf numFmtId="0" fontId="1" fillId="0" borderId="1" xfId="62" applyFont="1" applyBorder="1" applyAlignment="1">
      <alignment horizontal="center" vertical="center"/>
    </xf>
  </cellXfs>
  <cellStyles count="109">
    <cellStyle name="40% - 강조색6 2" xfId="13" xr:uid="{00000000-0005-0000-0000-000000000000}"/>
    <cellStyle name="40% - 강조색6 2 2" xfId="14" xr:uid="{00000000-0005-0000-0000-000001000000}"/>
    <cellStyle name="40% - 강조색6 2 2 2" xfId="80" xr:uid="{2A81A9F1-CA8F-496D-9F76-AAAC2D600EAB}"/>
    <cellStyle name="40% - 강조색6 2 3" xfId="15" xr:uid="{00000000-0005-0000-0000-000002000000}"/>
    <cellStyle name="40% - 강조색6 2 3 2" xfId="81" xr:uid="{E5E76EAC-625E-43C6-A74B-CDAC4DF8E312}"/>
    <cellStyle name="40% - 강조색6 2 4" xfId="16" xr:uid="{00000000-0005-0000-0000-000003000000}"/>
    <cellStyle name="40% - 강조색6 2 4 2" xfId="82" xr:uid="{40325E78-CD8C-4F26-9DBE-3D226073E36B}"/>
    <cellStyle name="40% - 강조색6 2 5" xfId="17" xr:uid="{00000000-0005-0000-0000-000004000000}"/>
    <cellStyle name="40% - 강조색6 2 5 2" xfId="83" xr:uid="{30FC5DCC-674C-4E67-B516-A371147F1C78}"/>
    <cellStyle name="40% - 강조색6 2 6" xfId="18" xr:uid="{00000000-0005-0000-0000-000005000000}"/>
    <cellStyle name="40% - 강조색6 2 6 2" xfId="84" xr:uid="{4865ECE6-6B4D-4202-9BD0-870BC43EE98A}"/>
    <cellStyle name="40% - 강조색6 2 7" xfId="19" xr:uid="{00000000-0005-0000-0000-000006000000}"/>
    <cellStyle name="40% - 강조색6 2 7 2" xfId="85" xr:uid="{159E783E-98A8-4404-B4D5-5999AF1A3783}"/>
    <cellStyle name="40% - 강조색6 2 8" xfId="20" xr:uid="{00000000-0005-0000-0000-000007000000}"/>
    <cellStyle name="40% - 강조색6 2 8 2" xfId="86" xr:uid="{A3E12290-1CDB-42E2-95E6-902A9E7D9E26}"/>
    <cellStyle name="40% - 강조색6 2 9" xfId="21" xr:uid="{00000000-0005-0000-0000-000008000000}"/>
    <cellStyle name="40% - 강조색6 2 9 2" xfId="87" xr:uid="{1E4B6D91-A09A-4E8E-9C91-C3FD587FD4D4}"/>
    <cellStyle name="40% - 강조색6 3" xfId="22" xr:uid="{00000000-0005-0000-0000-000009000000}"/>
    <cellStyle name="40% - 강조색6 4" xfId="23" xr:uid="{00000000-0005-0000-0000-00000A000000}"/>
    <cellStyle name="40% - 강조색6 5" xfId="24" xr:uid="{00000000-0005-0000-0000-00000B000000}"/>
    <cellStyle name="40% - 강조색6 6" xfId="25" xr:uid="{00000000-0005-0000-0000-00000C000000}"/>
    <cellStyle name="40% - 강조색6 7" xfId="26" xr:uid="{00000000-0005-0000-0000-00000D000000}"/>
    <cellStyle name="40% - 강조색6 8" xfId="27" xr:uid="{00000000-0005-0000-0000-00000E000000}"/>
    <cellStyle name="40% - 강조색6 9" xfId="28" xr:uid="{00000000-0005-0000-0000-00000F000000}"/>
    <cellStyle name="강조색5" xfId="6" builtinId="45"/>
    <cellStyle name="강조색6" xfId="7" builtinId="49"/>
    <cellStyle name="나쁨 10" xfId="29" xr:uid="{00000000-0005-0000-0000-000012000000}"/>
    <cellStyle name="나쁨 11" xfId="30" xr:uid="{00000000-0005-0000-0000-000013000000}"/>
    <cellStyle name="나쁨 12" xfId="31" xr:uid="{00000000-0005-0000-0000-000014000000}"/>
    <cellStyle name="나쁨 13" xfId="32" xr:uid="{00000000-0005-0000-0000-000015000000}"/>
    <cellStyle name="나쁨 2" xfId="33" xr:uid="{00000000-0005-0000-0000-000016000000}"/>
    <cellStyle name="나쁨 3" xfId="34" xr:uid="{00000000-0005-0000-0000-000017000000}"/>
    <cellStyle name="나쁨 4" xfId="35" xr:uid="{00000000-0005-0000-0000-000018000000}"/>
    <cellStyle name="나쁨 5" xfId="36" xr:uid="{00000000-0005-0000-0000-000019000000}"/>
    <cellStyle name="나쁨 6" xfId="37" xr:uid="{00000000-0005-0000-0000-00001A000000}"/>
    <cellStyle name="나쁨 7" xfId="38" xr:uid="{00000000-0005-0000-0000-00001B000000}"/>
    <cellStyle name="나쁨 8" xfId="39" xr:uid="{00000000-0005-0000-0000-00001C000000}"/>
    <cellStyle name="나쁨 9" xfId="40" xr:uid="{00000000-0005-0000-0000-00001D000000}"/>
    <cellStyle name="백분율" xfId="5" builtinId="5"/>
    <cellStyle name="백분율 2" xfId="76" xr:uid="{26068DA2-FDEA-48AF-BD80-BC502A7A560A}"/>
    <cellStyle name="쉼표 [0]" xfId="1" builtinId="6"/>
    <cellStyle name="쉼표 [0] 2" xfId="10" xr:uid="{00000000-0005-0000-0000-000020000000}"/>
    <cellStyle name="쉼표 [0] 2 10" xfId="78" xr:uid="{BDFDB705-8DF5-42D2-83B9-539793D7DD54}"/>
    <cellStyle name="쉼표 [0] 2 2" xfId="41" xr:uid="{00000000-0005-0000-0000-000021000000}"/>
    <cellStyle name="쉼표 [0] 2 2 2" xfId="88" xr:uid="{9F631E6B-DAE8-4B1F-BCFA-8FF2F96126EB}"/>
    <cellStyle name="쉼표 [0] 2 3" xfId="42" xr:uid="{00000000-0005-0000-0000-000022000000}"/>
    <cellStyle name="쉼표 [0] 2 3 2" xfId="89" xr:uid="{C1F3111B-C9B8-4766-AF8F-DB006FD628AA}"/>
    <cellStyle name="쉼표 [0] 2 4" xfId="43" xr:uid="{00000000-0005-0000-0000-000023000000}"/>
    <cellStyle name="쉼표 [0] 2 4 2" xfId="90" xr:uid="{45C8FE8E-0006-4284-B053-6A19A89F12C3}"/>
    <cellStyle name="쉼표 [0] 2 5" xfId="44" xr:uid="{00000000-0005-0000-0000-000024000000}"/>
    <cellStyle name="쉼표 [0] 2 5 2" xfId="91" xr:uid="{1B3C7070-AF71-4504-BA6C-7491681344EF}"/>
    <cellStyle name="쉼표 [0] 2 6" xfId="45" xr:uid="{00000000-0005-0000-0000-000025000000}"/>
    <cellStyle name="쉼표 [0] 2 6 2" xfId="92" xr:uid="{123409BE-649B-4E77-89E9-EBF3AD074608}"/>
    <cellStyle name="쉼표 [0] 2 7" xfId="46" xr:uid="{00000000-0005-0000-0000-000026000000}"/>
    <cellStyle name="쉼표 [0] 2 7 2" xfId="93" xr:uid="{2A9A94A9-DA1A-45AB-8518-A60AC2AFA015}"/>
    <cellStyle name="쉼표 [0] 2 8" xfId="47" xr:uid="{00000000-0005-0000-0000-000027000000}"/>
    <cellStyle name="쉼표 [0] 2 8 2" xfId="94" xr:uid="{4D12C081-2D2D-479C-8192-ED06D6E1C179}"/>
    <cellStyle name="쉼표 [0] 2 9" xfId="48" xr:uid="{00000000-0005-0000-0000-000028000000}"/>
    <cellStyle name="쉼표 [0] 2 9 2" xfId="95" xr:uid="{8E169E70-ED7D-4B1C-84CC-78783268C239}"/>
    <cellStyle name="쉼표 [0] 3" xfId="12" xr:uid="{00000000-0005-0000-0000-000029000000}"/>
    <cellStyle name="쉼표 [0] 3 2" xfId="79" xr:uid="{BC2FF630-3D59-4F30-BB1B-FEC78F0F8348}"/>
    <cellStyle name="쉼표 [0] 4" xfId="49" xr:uid="{00000000-0005-0000-0000-00002A000000}"/>
    <cellStyle name="쉼표 [0] 4 2" xfId="96" xr:uid="{04ECFB79-4DF0-44CB-94D7-8F6C91BA76DE}"/>
    <cellStyle name="쉼표 [0] 5" xfId="74" xr:uid="{00000000-0005-0000-0000-00002B000000}"/>
    <cellStyle name="쉼표 [0] 5 2" xfId="108" xr:uid="{9C2ABBDD-11C0-49FE-9EF3-6964E6766CC9}"/>
    <cellStyle name="쉼표 [0] 6" xfId="50" xr:uid="{00000000-0005-0000-0000-00002C000000}"/>
    <cellStyle name="쉼표 [0] 6 2" xfId="97" xr:uid="{BFBE00F3-1C31-463F-B3AD-E2F7A178B82B}"/>
    <cellStyle name="쉼표 [0] 7" xfId="51" xr:uid="{00000000-0005-0000-0000-00002D000000}"/>
    <cellStyle name="쉼표 [0] 7 2" xfId="98" xr:uid="{63DAB04A-5E60-4F64-8FD2-AD41741DC8A8}"/>
    <cellStyle name="쉼표 [0] 8" xfId="75" xr:uid="{C92AB555-3E86-4424-9E71-CBC930776264}"/>
    <cellStyle name="쉼표 [0] 9" xfId="52" xr:uid="{00000000-0005-0000-0000-00002E000000}"/>
    <cellStyle name="쉼표 [0] 9 2" xfId="99" xr:uid="{A5C9D8E8-7144-49AB-B3F8-44BF73CE36AD}"/>
    <cellStyle name="입력 2" xfId="53" xr:uid="{00000000-0005-0000-0000-00002F000000}"/>
    <cellStyle name="입력 3" xfId="54" xr:uid="{00000000-0005-0000-0000-000030000000}"/>
    <cellStyle name="입력 4" xfId="55" xr:uid="{00000000-0005-0000-0000-000031000000}"/>
    <cellStyle name="입력 5" xfId="56" xr:uid="{00000000-0005-0000-0000-000032000000}"/>
    <cellStyle name="입력 6" xfId="57" xr:uid="{00000000-0005-0000-0000-000033000000}"/>
    <cellStyle name="입력 7" xfId="58" xr:uid="{00000000-0005-0000-0000-000034000000}"/>
    <cellStyle name="입력 8" xfId="59" xr:uid="{00000000-0005-0000-0000-000035000000}"/>
    <cellStyle name="입력 9" xfId="60" xr:uid="{00000000-0005-0000-0000-000036000000}"/>
    <cellStyle name="표준" xfId="0" builtinId="0"/>
    <cellStyle name="표준 143" xfId="61" xr:uid="{00000000-0005-0000-0000-000038000000}"/>
    <cellStyle name="표준 2" xfId="2" xr:uid="{00000000-0005-0000-0000-000039000000}"/>
    <cellStyle name="표준 2 10" xfId="9" xr:uid="{00000000-0005-0000-0000-00003A000000}"/>
    <cellStyle name="표준 2 2" xfId="62" xr:uid="{00000000-0005-0000-0000-00003B000000}"/>
    <cellStyle name="표준 2 2 2" xfId="100" xr:uid="{663A4E7D-6AFD-44FF-83C1-9C3F516534D7}"/>
    <cellStyle name="표준 2 3" xfId="63" xr:uid="{00000000-0005-0000-0000-00003C000000}"/>
    <cellStyle name="표준 2 3 2" xfId="101" xr:uid="{DCA3340D-832E-4A79-8FE7-A89D2DED30B5}"/>
    <cellStyle name="표준 2 4" xfId="64" xr:uid="{00000000-0005-0000-0000-00003D000000}"/>
    <cellStyle name="표준 2 4 2" xfId="102" xr:uid="{2DB451E8-C03B-4E61-87C1-1B01F6C3A993}"/>
    <cellStyle name="표준 2 5" xfId="65" xr:uid="{00000000-0005-0000-0000-00003E000000}"/>
    <cellStyle name="표준 2 5 2" xfId="103" xr:uid="{C2CF69F5-062A-414C-924E-6194F2C55740}"/>
    <cellStyle name="표준 2 6" xfId="66" xr:uid="{00000000-0005-0000-0000-00003F000000}"/>
    <cellStyle name="표준 2 6 2" xfId="104" xr:uid="{1A851968-AF13-40AD-8290-8479D18C34C3}"/>
    <cellStyle name="표준 2 7" xfId="67" xr:uid="{00000000-0005-0000-0000-000040000000}"/>
    <cellStyle name="표준 2 7 2" xfId="105" xr:uid="{91CB7C16-54C5-47C7-9D1D-F2E1F16DA180}"/>
    <cellStyle name="표준 2 8" xfId="68" xr:uid="{00000000-0005-0000-0000-000041000000}"/>
    <cellStyle name="표준 2 8 2" xfId="106" xr:uid="{5A68C960-477B-4E7A-AE74-44B2EB9DC183}"/>
    <cellStyle name="표준 2 9" xfId="69" xr:uid="{00000000-0005-0000-0000-000042000000}"/>
    <cellStyle name="표준 2 9 2" xfId="107" xr:uid="{4850DB10-3429-4D08-ADE7-BFFBEF81E2CF}"/>
    <cellStyle name="표준 3" xfId="4" xr:uid="{00000000-0005-0000-0000-000043000000}"/>
    <cellStyle name="표준 3 2" xfId="11" xr:uid="{00000000-0005-0000-0000-000044000000}"/>
    <cellStyle name="표준 4" xfId="3" xr:uid="{00000000-0005-0000-0000-000045000000}"/>
    <cellStyle name="표준 4 2" xfId="70" xr:uid="{00000000-0005-0000-0000-000046000000}"/>
    <cellStyle name="표준 5" xfId="8" xr:uid="{00000000-0005-0000-0000-000047000000}"/>
    <cellStyle name="표준 5 2" xfId="77" xr:uid="{46F6BAA7-D594-42A5-8589-131923FEFD0A}"/>
    <cellStyle name="표준 6" xfId="71" xr:uid="{00000000-0005-0000-0000-000048000000}"/>
    <cellStyle name="표준 7" xfId="72" xr:uid="{00000000-0005-0000-0000-000049000000}"/>
    <cellStyle name="표준 9" xfId="73" xr:uid="{00000000-0005-0000-0000-00004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3CB0-61F9-4FAF-8091-9DCF763C549E}">
  <sheetPr>
    <pageSetUpPr fitToPage="1"/>
  </sheetPr>
  <dimension ref="A1:Z67"/>
  <sheetViews>
    <sheetView tabSelected="1" topLeftCell="A28" zoomScale="85" zoomScaleNormal="85" workbookViewId="0">
      <selection activeCell="L18" sqref="L18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08" t="s">
        <v>31</v>
      </c>
      <c r="B1" s="108"/>
      <c r="C1" s="108"/>
      <c r="D1" s="108"/>
      <c r="E1" s="108"/>
      <c r="F1" s="108"/>
      <c r="G1" s="108"/>
      <c r="H1" s="108"/>
      <c r="I1" s="39" t="s">
        <v>25</v>
      </c>
      <c r="J1" s="81" t="s">
        <v>85</v>
      </c>
      <c r="K1" s="38" t="s">
        <v>4</v>
      </c>
      <c r="L1" s="38" t="s">
        <v>2</v>
      </c>
      <c r="M1" s="38" t="s">
        <v>12</v>
      </c>
      <c r="N1" s="43" t="s">
        <v>27</v>
      </c>
      <c r="O1" s="43" t="s">
        <v>29</v>
      </c>
      <c r="P1" s="44" t="s">
        <v>30</v>
      </c>
      <c r="Q1" s="72" t="s">
        <v>34</v>
      </c>
      <c r="R1" s="43" t="s">
        <v>33</v>
      </c>
    </row>
    <row r="2" spans="1:25" ht="21.75" customHeight="1" thickTop="1" thickBot="1" x14ac:dyDescent="0.35">
      <c r="A2" s="109"/>
      <c r="B2" s="109"/>
      <c r="C2" s="109"/>
      <c r="D2" s="109"/>
      <c r="E2" s="109"/>
      <c r="F2" s="109"/>
      <c r="G2" s="109"/>
      <c r="H2" s="109"/>
      <c r="I2" s="39" t="s">
        <v>26</v>
      </c>
      <c r="J2" s="81" t="s">
        <v>142</v>
      </c>
      <c r="K2" s="45">
        <f>COUNTA(B4:B54)</f>
        <v>49</v>
      </c>
      <c r="L2" s="45">
        <f>COUNTIFS(C4:C54,"남")</f>
        <v>12</v>
      </c>
      <c r="M2" s="45">
        <f>COUNTIFS(C4:C54,"여")</f>
        <v>37</v>
      </c>
      <c r="N2" s="46">
        <f>AVERAGEIF(J4:J53,"&gt;0",J4:J53)</f>
        <v>40041.666666666664</v>
      </c>
      <c r="O2" s="47">
        <f>SUM(M4:M54)</f>
        <v>203</v>
      </c>
      <c r="P2" s="48">
        <f>SUM(F4:F54)</f>
        <v>442</v>
      </c>
      <c r="Q2" s="73">
        <f>SUM(Q5:Q35)</f>
        <v>13530000</v>
      </c>
      <c r="R2" s="73">
        <f>SUM(R5:R35)</f>
        <v>12379999.999999998</v>
      </c>
    </row>
    <row r="3" spans="1:25" ht="30" thickTop="1" thickBot="1" x14ac:dyDescent="0.35">
      <c r="A3" s="38" t="s">
        <v>0</v>
      </c>
      <c r="B3" s="39" t="s">
        <v>3</v>
      </c>
      <c r="C3" s="38" t="s">
        <v>1</v>
      </c>
      <c r="D3" s="38" t="s">
        <v>20</v>
      </c>
      <c r="E3" s="39" t="s">
        <v>37</v>
      </c>
      <c r="F3" s="39" t="s">
        <v>5</v>
      </c>
      <c r="G3" s="39" t="s">
        <v>32</v>
      </c>
      <c r="H3" s="39" t="s">
        <v>15</v>
      </c>
      <c r="I3" s="40" t="s">
        <v>21</v>
      </c>
      <c r="J3" s="40" t="s">
        <v>11</v>
      </c>
      <c r="K3" s="41" t="s">
        <v>13</v>
      </c>
      <c r="L3" s="40" t="s">
        <v>14</v>
      </c>
      <c r="M3" s="40" t="s">
        <v>19</v>
      </c>
      <c r="N3" s="40" t="s">
        <v>14</v>
      </c>
      <c r="O3" s="110" t="s">
        <v>6</v>
      </c>
      <c r="P3" s="110"/>
      <c r="Q3" s="110"/>
      <c r="R3" s="110"/>
    </row>
    <row r="4" spans="1:25" ht="18.75" customHeight="1" thickTop="1" thickBot="1" x14ac:dyDescent="0.35">
      <c r="A4" s="32">
        <v>1</v>
      </c>
      <c r="B4" s="82" t="s">
        <v>86</v>
      </c>
      <c r="C4" s="33" t="s">
        <v>12</v>
      </c>
      <c r="D4" s="34">
        <v>10</v>
      </c>
      <c r="E4" s="34">
        <v>10</v>
      </c>
      <c r="F4" s="35">
        <v>0</v>
      </c>
      <c r="G4" s="32" t="s">
        <v>51</v>
      </c>
      <c r="H4" s="64">
        <v>440000</v>
      </c>
      <c r="I4" s="62">
        <f>IF(G4="현금",H4,H4/1.1)</f>
        <v>399999.99999999994</v>
      </c>
      <c r="J4" s="36">
        <f t="shared" ref="J4:J54" si="0">I4/D4</f>
        <v>39999.999999999993</v>
      </c>
      <c r="K4" s="74">
        <v>0.4</v>
      </c>
      <c r="L4" s="68">
        <f t="shared" ref="L4:L54" si="1">PRODUCT(K4,J4)</f>
        <v>15999.999999999998</v>
      </c>
      <c r="M4" s="37">
        <v>5</v>
      </c>
      <c r="N4" s="70">
        <f t="shared" ref="N4:N54" si="2">PRODUCT(M4,L4)</f>
        <v>79999.999999999985</v>
      </c>
      <c r="O4" s="49" t="s">
        <v>7</v>
      </c>
      <c r="P4" s="49" t="s">
        <v>10</v>
      </c>
      <c r="Q4" s="49" t="s">
        <v>8</v>
      </c>
      <c r="R4" s="50" t="s">
        <v>9</v>
      </c>
      <c r="Y4" s="4"/>
    </row>
    <row r="5" spans="1:25" ht="18.75" customHeight="1" thickTop="1" thickBot="1" x14ac:dyDescent="0.35">
      <c r="A5" s="32">
        <v>2</v>
      </c>
      <c r="B5" s="83" t="s">
        <v>86</v>
      </c>
      <c r="C5" s="6" t="s">
        <v>12</v>
      </c>
      <c r="D5" s="5">
        <v>10</v>
      </c>
      <c r="E5" s="5">
        <v>1</v>
      </c>
      <c r="F5" s="30">
        <v>9</v>
      </c>
      <c r="G5" s="9" t="s">
        <v>51</v>
      </c>
      <c r="H5" s="65">
        <v>440000</v>
      </c>
      <c r="I5" s="62">
        <f t="shared" ref="I5:I54" si="3">IF(G5="현금",H5,H5/1.1)</f>
        <v>399999.99999999994</v>
      </c>
      <c r="J5" s="31">
        <f t="shared" si="0"/>
        <v>39999.999999999993</v>
      </c>
      <c r="K5" s="74">
        <v>0.4</v>
      </c>
      <c r="L5" s="69">
        <f t="shared" si="1"/>
        <v>15999.999999999998</v>
      </c>
      <c r="M5" s="20">
        <v>1</v>
      </c>
      <c r="N5" s="71">
        <f t="shared" si="2"/>
        <v>15999.999999999998</v>
      </c>
      <c r="O5" s="119" t="s">
        <v>165</v>
      </c>
      <c r="P5" s="120" t="s">
        <v>51</v>
      </c>
      <c r="Q5" s="51">
        <v>550000</v>
      </c>
      <c r="R5" s="62">
        <f>IF(P5="현금",Q5,Q5/1.1)</f>
        <v>499999.99999999994</v>
      </c>
      <c r="Y5" s="4"/>
    </row>
    <row r="6" spans="1:25" ht="18.75" customHeight="1" thickTop="1" thickBot="1" x14ac:dyDescent="0.35">
      <c r="A6" s="32">
        <v>3</v>
      </c>
      <c r="B6" s="94" t="s">
        <v>116</v>
      </c>
      <c r="C6" s="6" t="s">
        <v>12</v>
      </c>
      <c r="D6" s="5">
        <v>10</v>
      </c>
      <c r="E6" s="5">
        <v>5</v>
      </c>
      <c r="F6" s="30">
        <f t="shared" ref="F6:F54" si="4">D6-E6</f>
        <v>5</v>
      </c>
      <c r="G6" s="9" t="s">
        <v>36</v>
      </c>
      <c r="H6" s="65">
        <v>440000</v>
      </c>
      <c r="I6" s="62">
        <f t="shared" si="3"/>
        <v>399999.99999999994</v>
      </c>
      <c r="J6" s="31">
        <f t="shared" si="0"/>
        <v>39999.999999999993</v>
      </c>
      <c r="K6" s="74">
        <v>0.4</v>
      </c>
      <c r="L6" s="69">
        <f t="shared" si="1"/>
        <v>15999.999999999998</v>
      </c>
      <c r="M6" s="20">
        <v>3</v>
      </c>
      <c r="N6" s="71">
        <f t="shared" si="2"/>
        <v>47999.999999999993</v>
      </c>
      <c r="O6" s="119" t="s">
        <v>166</v>
      </c>
      <c r="P6" s="120" t="s">
        <v>51</v>
      </c>
      <c r="Q6" s="51">
        <v>440000</v>
      </c>
      <c r="R6" s="62">
        <f t="shared" ref="R6:R35" si="5">IF(P6="현금",Q6,Q6/1.1)</f>
        <v>399999.99999999994</v>
      </c>
      <c r="Y6" s="4"/>
    </row>
    <row r="7" spans="1:25" ht="18.75" customHeight="1" thickTop="1" thickBot="1" x14ac:dyDescent="0.35">
      <c r="A7" s="32">
        <v>4</v>
      </c>
      <c r="B7" s="94" t="s">
        <v>130</v>
      </c>
      <c r="C7" s="6" t="s">
        <v>41</v>
      </c>
      <c r="D7" s="5">
        <v>10</v>
      </c>
      <c r="E7" s="5">
        <v>5</v>
      </c>
      <c r="F7" s="30">
        <f t="shared" ref="F7" si="6">D7-E7</f>
        <v>5</v>
      </c>
      <c r="G7" s="9" t="s">
        <v>36</v>
      </c>
      <c r="H7" s="65">
        <v>440000</v>
      </c>
      <c r="I7" s="62">
        <f t="shared" ref="I7" si="7">IF(G7="현금",H7,H7/1.1)</f>
        <v>399999.99999999994</v>
      </c>
      <c r="J7" s="31">
        <f t="shared" ref="J7" si="8">I7/D7</f>
        <v>39999.999999999993</v>
      </c>
      <c r="K7" s="74">
        <v>0.4</v>
      </c>
      <c r="L7" s="69">
        <f t="shared" ref="L7" si="9">PRODUCT(K7,J7)</f>
        <v>15999.999999999998</v>
      </c>
      <c r="M7" s="20">
        <v>2</v>
      </c>
      <c r="N7" s="71">
        <f t="shared" ref="N7" si="10">PRODUCT(M7,L7)</f>
        <v>31999.999999999996</v>
      </c>
      <c r="O7" s="119" t="s">
        <v>167</v>
      </c>
      <c r="P7" s="120" t="s">
        <v>51</v>
      </c>
      <c r="Q7" s="51">
        <v>440000</v>
      </c>
      <c r="R7" s="62">
        <f t="shared" si="5"/>
        <v>399999.99999999994</v>
      </c>
      <c r="Y7" s="4"/>
    </row>
    <row r="8" spans="1:25" ht="18.75" customHeight="1" thickTop="1" thickBot="1" x14ac:dyDescent="0.35">
      <c r="A8" s="32">
        <v>5</v>
      </c>
      <c r="B8" s="83" t="s">
        <v>39</v>
      </c>
      <c r="C8" s="6" t="s">
        <v>12</v>
      </c>
      <c r="D8" s="5">
        <v>20</v>
      </c>
      <c r="E8" s="5">
        <v>17</v>
      </c>
      <c r="F8" s="30">
        <f t="shared" ref="F8" si="11">D8-E8</f>
        <v>3</v>
      </c>
      <c r="G8" s="9" t="s">
        <v>36</v>
      </c>
      <c r="H8" s="65">
        <v>880000</v>
      </c>
      <c r="I8" s="62">
        <f t="shared" ref="I8" si="12">IF(G8="현금",H8,H8/1.1)</f>
        <v>799999.99999999988</v>
      </c>
      <c r="J8" s="31">
        <f t="shared" ref="J8" si="13">I8/D8</f>
        <v>39999.999999999993</v>
      </c>
      <c r="K8" s="74">
        <v>0.4</v>
      </c>
      <c r="L8" s="69">
        <f t="shared" ref="L8" si="14">PRODUCT(K8,J8)</f>
        <v>15999.999999999998</v>
      </c>
      <c r="M8" s="20">
        <v>9</v>
      </c>
      <c r="N8" s="71">
        <f t="shared" ref="N8" si="15">PRODUCT(M8,L8)</f>
        <v>143999.99999999997</v>
      </c>
      <c r="O8" s="119" t="s">
        <v>124</v>
      </c>
      <c r="P8" s="120" t="s">
        <v>36</v>
      </c>
      <c r="Q8" s="51">
        <v>880000</v>
      </c>
      <c r="R8" s="62">
        <f t="shared" si="5"/>
        <v>799999.99999999988</v>
      </c>
      <c r="Y8" s="4"/>
    </row>
    <row r="9" spans="1:25" ht="18.75" customHeight="1" thickTop="1" thickBot="1" x14ac:dyDescent="0.35">
      <c r="A9" s="32">
        <v>6</v>
      </c>
      <c r="B9" s="83" t="s">
        <v>87</v>
      </c>
      <c r="C9" s="6" t="s">
        <v>41</v>
      </c>
      <c r="D9" s="5">
        <v>10</v>
      </c>
      <c r="E9" s="5">
        <v>10</v>
      </c>
      <c r="F9" s="30">
        <f t="shared" si="4"/>
        <v>0</v>
      </c>
      <c r="G9" s="9" t="s">
        <v>36</v>
      </c>
      <c r="H9" s="65">
        <v>132000</v>
      </c>
      <c r="I9" s="62">
        <f t="shared" si="3"/>
        <v>119999.99999999999</v>
      </c>
      <c r="J9" s="31">
        <f t="shared" si="0"/>
        <v>11999.999999999998</v>
      </c>
      <c r="K9" s="74">
        <v>0.4</v>
      </c>
      <c r="L9" s="69">
        <f t="shared" si="1"/>
        <v>4799.9999999999991</v>
      </c>
      <c r="M9" s="20">
        <v>3</v>
      </c>
      <c r="N9" s="71">
        <f t="shared" si="2"/>
        <v>14399.999999999996</v>
      </c>
      <c r="O9" s="119" t="s">
        <v>144</v>
      </c>
      <c r="P9" s="120" t="s">
        <v>36</v>
      </c>
      <c r="Q9" s="51">
        <v>880000</v>
      </c>
      <c r="R9" s="62">
        <f t="shared" si="5"/>
        <v>799999.99999999988</v>
      </c>
      <c r="Y9" s="4"/>
    </row>
    <row r="10" spans="1:25" ht="18.75" customHeight="1" thickTop="1" thickBot="1" x14ac:dyDescent="0.35">
      <c r="A10" s="32">
        <v>7</v>
      </c>
      <c r="B10" s="83" t="s">
        <v>88</v>
      </c>
      <c r="C10" s="6" t="s">
        <v>12</v>
      </c>
      <c r="D10" s="5">
        <v>10</v>
      </c>
      <c r="E10" s="5">
        <v>10</v>
      </c>
      <c r="F10" s="30">
        <f t="shared" si="4"/>
        <v>0</v>
      </c>
      <c r="G10" s="9" t="s">
        <v>51</v>
      </c>
      <c r="H10" s="65">
        <v>440000</v>
      </c>
      <c r="I10" s="62">
        <f t="shared" si="3"/>
        <v>399999.99999999994</v>
      </c>
      <c r="J10" s="31">
        <f t="shared" si="0"/>
        <v>39999.999999999993</v>
      </c>
      <c r="K10" s="74">
        <v>0.4</v>
      </c>
      <c r="L10" s="69">
        <f t="shared" si="1"/>
        <v>15999.999999999998</v>
      </c>
      <c r="M10" s="20">
        <v>2</v>
      </c>
      <c r="N10" s="71">
        <f t="shared" si="2"/>
        <v>31999.999999999996</v>
      </c>
      <c r="O10" s="87" t="s">
        <v>86</v>
      </c>
      <c r="P10" s="120" t="s">
        <v>36</v>
      </c>
      <c r="Q10" s="51">
        <v>440000</v>
      </c>
      <c r="R10" s="62">
        <f t="shared" si="5"/>
        <v>399999.99999999994</v>
      </c>
      <c r="Y10" s="4"/>
    </row>
    <row r="11" spans="1:25" ht="18.75" customHeight="1" thickTop="1" thickBot="1" x14ac:dyDescent="0.35">
      <c r="A11" s="32">
        <v>8</v>
      </c>
      <c r="B11" s="83" t="s">
        <v>88</v>
      </c>
      <c r="C11" s="6" t="s">
        <v>12</v>
      </c>
      <c r="D11" s="5">
        <v>20</v>
      </c>
      <c r="E11" s="5">
        <v>3</v>
      </c>
      <c r="F11" s="30">
        <f t="shared" si="4"/>
        <v>17</v>
      </c>
      <c r="G11" s="9" t="s">
        <v>35</v>
      </c>
      <c r="H11" s="65">
        <v>880000</v>
      </c>
      <c r="I11" s="62">
        <f t="shared" si="3"/>
        <v>880000</v>
      </c>
      <c r="J11" s="31">
        <f t="shared" si="0"/>
        <v>44000</v>
      </c>
      <c r="K11" s="74">
        <v>0.4</v>
      </c>
      <c r="L11" s="69">
        <f t="shared" si="1"/>
        <v>17600</v>
      </c>
      <c r="M11" s="20">
        <v>3</v>
      </c>
      <c r="N11" s="71">
        <f t="shared" si="2"/>
        <v>52800</v>
      </c>
      <c r="O11" s="87" t="s">
        <v>168</v>
      </c>
      <c r="P11" s="120" t="s">
        <v>36</v>
      </c>
      <c r="Q11" s="51">
        <v>440000</v>
      </c>
      <c r="R11" s="62">
        <f t="shared" si="5"/>
        <v>399999.99999999994</v>
      </c>
      <c r="Y11" s="4"/>
    </row>
    <row r="12" spans="1:25" ht="18.75" customHeight="1" thickTop="1" thickBot="1" x14ac:dyDescent="0.35">
      <c r="A12" s="32">
        <v>9</v>
      </c>
      <c r="B12" s="121" t="s">
        <v>89</v>
      </c>
      <c r="C12" s="6" t="s">
        <v>12</v>
      </c>
      <c r="D12" s="5">
        <v>50</v>
      </c>
      <c r="E12" s="5">
        <v>0</v>
      </c>
      <c r="F12" s="30">
        <f t="shared" ref="F12" si="16">D12-E12</f>
        <v>50</v>
      </c>
      <c r="G12" s="9" t="s">
        <v>36</v>
      </c>
      <c r="H12" s="65">
        <v>2200000</v>
      </c>
      <c r="I12" s="62">
        <f t="shared" ref="I12" si="17">IF(G12="현금",H12,H12/1.1)</f>
        <v>1999999.9999999998</v>
      </c>
      <c r="J12" s="31">
        <f t="shared" ref="J12" si="18">I12/D12</f>
        <v>39999.999999999993</v>
      </c>
      <c r="K12" s="74">
        <v>0.4</v>
      </c>
      <c r="L12" s="69">
        <f t="shared" ref="L12" si="19">PRODUCT(K12,J12)</f>
        <v>15999.999999999998</v>
      </c>
      <c r="M12" s="20">
        <v>4</v>
      </c>
      <c r="N12" s="71">
        <f t="shared" ref="N12" si="20">PRODUCT(M12,L12)</f>
        <v>63999.999999999993</v>
      </c>
      <c r="O12" s="87"/>
      <c r="P12" s="120"/>
      <c r="Q12" s="51"/>
      <c r="R12" s="62">
        <f t="shared" ref="R12" si="21">IF(P12="현금",Q12,Q12/1.1)</f>
        <v>0</v>
      </c>
      <c r="Y12" s="4"/>
    </row>
    <row r="13" spans="1:25" ht="18.75" customHeight="1" thickTop="1" thickBot="1" x14ac:dyDescent="0.35">
      <c r="A13" s="32">
        <v>10</v>
      </c>
      <c r="B13" s="83" t="s">
        <v>89</v>
      </c>
      <c r="C13" s="6" t="s">
        <v>12</v>
      </c>
      <c r="D13" s="5">
        <v>20</v>
      </c>
      <c r="E13" s="5">
        <v>13</v>
      </c>
      <c r="F13" s="30">
        <f t="shared" si="4"/>
        <v>7</v>
      </c>
      <c r="G13" s="9" t="s">
        <v>90</v>
      </c>
      <c r="H13" s="65">
        <v>880000</v>
      </c>
      <c r="I13" s="62">
        <f t="shared" si="3"/>
        <v>799999.99999999988</v>
      </c>
      <c r="J13" s="31">
        <f t="shared" si="0"/>
        <v>39999.999999999993</v>
      </c>
      <c r="K13" s="74">
        <v>0.4</v>
      </c>
      <c r="L13" s="69">
        <f t="shared" si="1"/>
        <v>15999.999999999998</v>
      </c>
      <c r="M13" s="20">
        <v>6</v>
      </c>
      <c r="N13" s="71">
        <f t="shared" si="2"/>
        <v>95999.999999999985</v>
      </c>
      <c r="O13" s="119" t="s">
        <v>169</v>
      </c>
      <c r="P13" s="120" t="s">
        <v>36</v>
      </c>
      <c r="Q13" s="51">
        <v>1100000</v>
      </c>
      <c r="R13" s="62">
        <f t="shared" si="5"/>
        <v>999999.99999999988</v>
      </c>
      <c r="Y13" s="4"/>
    </row>
    <row r="14" spans="1:25" ht="18.75" customHeight="1" thickTop="1" thickBot="1" x14ac:dyDescent="0.35">
      <c r="A14" s="32">
        <v>11</v>
      </c>
      <c r="B14" s="94" t="s">
        <v>125</v>
      </c>
      <c r="C14" s="6" t="s">
        <v>12</v>
      </c>
      <c r="D14" s="5">
        <v>30</v>
      </c>
      <c r="E14" s="5">
        <v>9</v>
      </c>
      <c r="F14" s="30">
        <f t="shared" si="4"/>
        <v>21</v>
      </c>
      <c r="G14" s="9" t="s">
        <v>35</v>
      </c>
      <c r="H14" s="65">
        <v>1320000</v>
      </c>
      <c r="I14" s="62">
        <f t="shared" si="3"/>
        <v>1320000</v>
      </c>
      <c r="J14" s="31">
        <f t="shared" si="0"/>
        <v>44000</v>
      </c>
      <c r="K14" s="74">
        <v>0.4</v>
      </c>
      <c r="L14" s="69">
        <f t="shared" si="1"/>
        <v>17600</v>
      </c>
      <c r="M14" s="20">
        <v>5</v>
      </c>
      <c r="N14" s="71">
        <f t="shared" si="2"/>
        <v>88000</v>
      </c>
      <c r="O14" s="119" t="s">
        <v>170</v>
      </c>
      <c r="P14" s="120" t="s">
        <v>36</v>
      </c>
      <c r="Q14" s="51">
        <v>880000</v>
      </c>
      <c r="R14" s="62">
        <f t="shared" si="5"/>
        <v>799999.99999999988</v>
      </c>
      <c r="Y14" s="4"/>
    </row>
    <row r="15" spans="1:25" ht="18.75" customHeight="1" thickTop="1" thickBot="1" x14ac:dyDescent="0.35">
      <c r="A15" s="32">
        <v>12</v>
      </c>
      <c r="B15" s="83" t="s">
        <v>49</v>
      </c>
      <c r="C15" s="6" t="s">
        <v>12</v>
      </c>
      <c r="D15" s="5">
        <v>20</v>
      </c>
      <c r="E15" s="5">
        <v>20</v>
      </c>
      <c r="F15" s="30">
        <f t="shared" si="4"/>
        <v>0</v>
      </c>
      <c r="G15" s="9" t="s">
        <v>36</v>
      </c>
      <c r="H15" s="65">
        <v>880000</v>
      </c>
      <c r="I15" s="62">
        <f t="shared" si="3"/>
        <v>799999.99999999988</v>
      </c>
      <c r="J15" s="31">
        <f t="shared" si="0"/>
        <v>39999.999999999993</v>
      </c>
      <c r="K15" s="74">
        <v>0.4</v>
      </c>
      <c r="L15" s="69">
        <f t="shared" si="1"/>
        <v>15999.999999999998</v>
      </c>
      <c r="M15" s="20">
        <v>4</v>
      </c>
      <c r="N15" s="71">
        <f t="shared" si="2"/>
        <v>63999.999999999993</v>
      </c>
      <c r="O15" s="55" t="s">
        <v>92</v>
      </c>
      <c r="P15" s="56" t="s">
        <v>36</v>
      </c>
      <c r="Q15" s="51">
        <v>2200000</v>
      </c>
      <c r="R15" s="62">
        <f t="shared" si="5"/>
        <v>1999999.9999999998</v>
      </c>
      <c r="Y15" s="4"/>
    </row>
    <row r="16" spans="1:25" ht="18.75" customHeight="1" thickTop="1" thickBot="1" x14ac:dyDescent="0.35">
      <c r="A16" s="32">
        <v>13</v>
      </c>
      <c r="B16" s="94" t="s">
        <v>49</v>
      </c>
      <c r="C16" s="6" t="s">
        <v>12</v>
      </c>
      <c r="D16" s="5">
        <v>50</v>
      </c>
      <c r="E16" s="5">
        <v>1</v>
      </c>
      <c r="F16" s="30">
        <f t="shared" si="4"/>
        <v>49</v>
      </c>
      <c r="G16" s="9" t="s">
        <v>36</v>
      </c>
      <c r="H16" s="65">
        <v>2200000</v>
      </c>
      <c r="I16" s="62">
        <f t="shared" si="3"/>
        <v>1999999.9999999998</v>
      </c>
      <c r="J16" s="31">
        <f t="shared" si="0"/>
        <v>39999.999999999993</v>
      </c>
      <c r="K16" s="74">
        <v>0.4</v>
      </c>
      <c r="L16" s="69">
        <f t="shared" si="1"/>
        <v>15999.999999999998</v>
      </c>
      <c r="M16" s="20">
        <v>1</v>
      </c>
      <c r="N16" s="71">
        <f t="shared" si="2"/>
        <v>15999.999999999998</v>
      </c>
      <c r="O16" s="55" t="s">
        <v>89</v>
      </c>
      <c r="P16" s="56" t="s">
        <v>36</v>
      </c>
      <c r="Q16" s="51">
        <v>2200000</v>
      </c>
      <c r="R16" s="62">
        <f t="shared" si="5"/>
        <v>1999999.9999999998</v>
      </c>
      <c r="Y16" s="4"/>
    </row>
    <row r="17" spans="1:25" ht="18.75" customHeight="1" thickTop="1" thickBot="1" x14ac:dyDescent="0.35">
      <c r="A17" s="32">
        <v>14</v>
      </c>
      <c r="B17" s="121" t="s">
        <v>92</v>
      </c>
      <c r="C17" s="6" t="s">
        <v>12</v>
      </c>
      <c r="D17" s="5">
        <v>50</v>
      </c>
      <c r="E17" s="5">
        <v>3</v>
      </c>
      <c r="F17" s="30">
        <f t="shared" si="4"/>
        <v>47</v>
      </c>
      <c r="G17" s="9" t="s">
        <v>36</v>
      </c>
      <c r="H17" s="65">
        <v>2200000</v>
      </c>
      <c r="I17" s="62">
        <f t="shared" si="3"/>
        <v>1999999.9999999998</v>
      </c>
      <c r="J17" s="31">
        <f t="shared" si="0"/>
        <v>39999.999999999993</v>
      </c>
      <c r="K17" s="74">
        <v>0.4</v>
      </c>
      <c r="L17" s="69">
        <f t="shared" si="1"/>
        <v>15999.999999999998</v>
      </c>
      <c r="M17" s="20">
        <v>3</v>
      </c>
      <c r="N17" s="71">
        <f t="shared" si="2"/>
        <v>47999.999999999993</v>
      </c>
      <c r="O17" s="55" t="s">
        <v>40</v>
      </c>
      <c r="P17" s="56" t="s">
        <v>36</v>
      </c>
      <c r="Q17" s="57">
        <v>440000</v>
      </c>
      <c r="R17" s="62">
        <f t="shared" si="5"/>
        <v>399999.99999999994</v>
      </c>
      <c r="Y17" s="4"/>
    </row>
    <row r="18" spans="1:25" ht="18.75" customHeight="1" thickTop="1" thickBot="1" x14ac:dyDescent="0.35">
      <c r="A18" s="32">
        <v>15</v>
      </c>
      <c r="B18" s="83" t="s">
        <v>91</v>
      </c>
      <c r="C18" s="6" t="s">
        <v>12</v>
      </c>
      <c r="D18" s="5">
        <v>10</v>
      </c>
      <c r="E18" s="5">
        <v>8</v>
      </c>
      <c r="F18" s="30">
        <f t="shared" si="4"/>
        <v>2</v>
      </c>
      <c r="G18" s="9" t="s">
        <v>36</v>
      </c>
      <c r="H18" s="65">
        <v>440000</v>
      </c>
      <c r="I18" s="62">
        <f t="shared" si="3"/>
        <v>399999.99999999994</v>
      </c>
      <c r="J18" s="31">
        <f t="shared" si="0"/>
        <v>39999.999999999993</v>
      </c>
      <c r="K18" s="74">
        <v>0.4</v>
      </c>
      <c r="L18" s="69">
        <f t="shared" si="1"/>
        <v>15999.999999999998</v>
      </c>
      <c r="M18" s="20">
        <v>5</v>
      </c>
      <c r="N18" s="71">
        <f t="shared" si="2"/>
        <v>79999.999999999985</v>
      </c>
      <c r="O18" s="55" t="s">
        <v>118</v>
      </c>
      <c r="P18" s="55" t="s">
        <v>35</v>
      </c>
      <c r="Q18" s="56">
        <v>880000</v>
      </c>
      <c r="R18" s="62">
        <f t="shared" si="5"/>
        <v>880000</v>
      </c>
      <c r="Y18" s="4"/>
    </row>
    <row r="19" spans="1:25" ht="18.75" customHeight="1" thickTop="1" thickBot="1" x14ac:dyDescent="0.35">
      <c r="A19" s="32">
        <v>16</v>
      </c>
      <c r="B19" s="83" t="s">
        <v>92</v>
      </c>
      <c r="C19" s="6" t="s">
        <v>12</v>
      </c>
      <c r="D19" s="5">
        <v>20</v>
      </c>
      <c r="E19" s="5">
        <v>20</v>
      </c>
      <c r="F19" s="30">
        <f t="shared" si="4"/>
        <v>0</v>
      </c>
      <c r="G19" s="9" t="s">
        <v>36</v>
      </c>
      <c r="H19" s="65">
        <v>880000</v>
      </c>
      <c r="I19" s="62">
        <f t="shared" si="3"/>
        <v>799999.99999999988</v>
      </c>
      <c r="J19" s="31">
        <f t="shared" si="0"/>
        <v>39999.999999999993</v>
      </c>
      <c r="K19" s="74">
        <v>0.4</v>
      </c>
      <c r="L19" s="69">
        <f t="shared" si="1"/>
        <v>15999.999999999998</v>
      </c>
      <c r="M19" s="20">
        <v>9</v>
      </c>
      <c r="N19" s="71">
        <f t="shared" si="2"/>
        <v>143999.99999999997</v>
      </c>
      <c r="O19" s="55" t="s">
        <v>171</v>
      </c>
      <c r="P19" s="55" t="s">
        <v>36</v>
      </c>
      <c r="Q19" s="56">
        <v>880000</v>
      </c>
      <c r="R19" s="62">
        <f t="shared" si="5"/>
        <v>799999.99999999988</v>
      </c>
      <c r="S19" s="25"/>
      <c r="U19" s="26"/>
      <c r="V19" s="26"/>
      <c r="Y19" s="4"/>
    </row>
    <row r="20" spans="1:25" ht="18.75" customHeight="1" thickTop="1" thickBot="1" x14ac:dyDescent="0.35">
      <c r="A20" s="32">
        <v>17</v>
      </c>
      <c r="B20" s="121" t="s">
        <v>171</v>
      </c>
      <c r="C20" s="6" t="s">
        <v>41</v>
      </c>
      <c r="D20" s="5">
        <v>20</v>
      </c>
      <c r="E20" s="5">
        <v>4</v>
      </c>
      <c r="F20" s="30">
        <f t="shared" si="4"/>
        <v>16</v>
      </c>
      <c r="G20" s="9" t="s">
        <v>36</v>
      </c>
      <c r="H20" s="65">
        <v>880000</v>
      </c>
      <c r="I20" s="62">
        <f t="shared" si="3"/>
        <v>799999.99999999988</v>
      </c>
      <c r="J20" s="31">
        <f t="shared" si="0"/>
        <v>39999.999999999993</v>
      </c>
      <c r="K20" s="74"/>
      <c r="L20" s="69">
        <f t="shared" si="1"/>
        <v>39999.999999999993</v>
      </c>
      <c r="M20" s="20">
        <v>8</v>
      </c>
      <c r="N20" s="71">
        <f t="shared" si="2"/>
        <v>319999.99999999994</v>
      </c>
      <c r="O20" s="55" t="s">
        <v>93</v>
      </c>
      <c r="P20" s="55" t="s">
        <v>51</v>
      </c>
      <c r="Q20" s="56">
        <v>440000</v>
      </c>
      <c r="R20" s="62">
        <f t="shared" si="5"/>
        <v>399999.99999999994</v>
      </c>
      <c r="S20" s="25"/>
      <c r="U20" s="26"/>
      <c r="Y20" s="4"/>
    </row>
    <row r="21" spans="1:25" ht="18.75" customHeight="1" thickTop="1" thickBot="1" x14ac:dyDescent="0.35">
      <c r="A21" s="32">
        <v>18</v>
      </c>
      <c r="B21" s="84" t="s">
        <v>46</v>
      </c>
      <c r="C21" s="6" t="s">
        <v>12</v>
      </c>
      <c r="D21" s="5">
        <v>30</v>
      </c>
      <c r="E21" s="5">
        <v>23</v>
      </c>
      <c r="F21" s="30">
        <f t="shared" si="4"/>
        <v>7</v>
      </c>
      <c r="G21" s="9" t="s">
        <v>36</v>
      </c>
      <c r="H21" s="65">
        <v>1320000</v>
      </c>
      <c r="I21" s="62">
        <f t="shared" si="3"/>
        <v>1200000</v>
      </c>
      <c r="J21" s="31">
        <f t="shared" si="0"/>
        <v>40000</v>
      </c>
      <c r="K21" s="74">
        <v>0.4</v>
      </c>
      <c r="L21" s="69">
        <f t="shared" si="1"/>
        <v>16000</v>
      </c>
      <c r="M21" s="20">
        <v>5</v>
      </c>
      <c r="N21" s="71">
        <f t="shared" si="2"/>
        <v>80000</v>
      </c>
      <c r="O21" s="55"/>
      <c r="P21" s="55"/>
      <c r="Q21" s="56"/>
      <c r="R21" s="62">
        <f t="shared" si="5"/>
        <v>0</v>
      </c>
      <c r="S21" s="25"/>
      <c r="U21" s="26"/>
      <c r="V21" s="26"/>
      <c r="Y21" s="4"/>
    </row>
    <row r="22" spans="1:25" ht="18.75" customHeight="1" thickTop="1" thickBot="1" x14ac:dyDescent="0.35">
      <c r="A22" s="32">
        <v>19</v>
      </c>
      <c r="B22" s="84" t="s">
        <v>47</v>
      </c>
      <c r="C22" s="6" t="s">
        <v>12</v>
      </c>
      <c r="D22" s="5">
        <v>20</v>
      </c>
      <c r="E22" s="5">
        <v>17</v>
      </c>
      <c r="F22" s="30">
        <f t="shared" si="4"/>
        <v>3</v>
      </c>
      <c r="G22" s="9" t="s">
        <v>36</v>
      </c>
      <c r="H22" s="65">
        <v>880000</v>
      </c>
      <c r="I22" s="62">
        <f t="shared" si="3"/>
        <v>799999.99999999988</v>
      </c>
      <c r="J22" s="31">
        <f t="shared" si="0"/>
        <v>39999.999999999993</v>
      </c>
      <c r="K22" s="74">
        <v>0.4</v>
      </c>
      <c r="L22" s="69">
        <f t="shared" si="1"/>
        <v>15999.999999999998</v>
      </c>
      <c r="M22" s="20">
        <v>6</v>
      </c>
      <c r="N22" s="71">
        <f t="shared" si="2"/>
        <v>95999.999999999985</v>
      </c>
      <c r="O22" s="55" t="s">
        <v>87</v>
      </c>
      <c r="P22" s="55"/>
      <c r="Q22" s="56">
        <v>440000</v>
      </c>
      <c r="R22" s="62">
        <f t="shared" si="5"/>
        <v>399999.99999999994</v>
      </c>
      <c r="S22" s="25"/>
      <c r="U22" s="26"/>
      <c r="V22" s="26"/>
      <c r="Y22" s="4"/>
    </row>
    <row r="23" spans="1:25" ht="18.75" customHeight="1" thickTop="1" thickBot="1" x14ac:dyDescent="0.35">
      <c r="A23" s="32">
        <v>20</v>
      </c>
      <c r="B23" s="83" t="s">
        <v>93</v>
      </c>
      <c r="C23" s="6" t="s">
        <v>12</v>
      </c>
      <c r="D23" s="5">
        <v>10</v>
      </c>
      <c r="E23" s="5">
        <v>5</v>
      </c>
      <c r="F23" s="30">
        <f t="shared" si="4"/>
        <v>5</v>
      </c>
      <c r="G23" s="9" t="s">
        <v>51</v>
      </c>
      <c r="H23" s="65">
        <v>440000</v>
      </c>
      <c r="I23" s="62">
        <f t="shared" si="3"/>
        <v>399999.99999999994</v>
      </c>
      <c r="J23" s="31">
        <f t="shared" si="0"/>
        <v>39999.999999999993</v>
      </c>
      <c r="K23" s="74">
        <v>0.4</v>
      </c>
      <c r="L23" s="69">
        <f t="shared" si="1"/>
        <v>15999.999999999998</v>
      </c>
      <c r="M23" s="20">
        <v>5</v>
      </c>
      <c r="N23" s="71">
        <f t="shared" si="2"/>
        <v>79999.999999999985</v>
      </c>
      <c r="O23" s="55"/>
      <c r="P23" s="55"/>
      <c r="Q23" s="56"/>
      <c r="R23" s="62">
        <f t="shared" si="5"/>
        <v>0</v>
      </c>
      <c r="S23" s="25"/>
      <c r="U23" s="26"/>
      <c r="V23" s="26"/>
      <c r="Y23" s="4"/>
    </row>
    <row r="24" spans="1:25" ht="18.75" customHeight="1" thickTop="1" thickBot="1" x14ac:dyDescent="0.35">
      <c r="A24" s="32">
        <v>21</v>
      </c>
      <c r="B24" s="121" t="s">
        <v>169</v>
      </c>
      <c r="C24" s="6" t="s">
        <v>12</v>
      </c>
      <c r="D24" s="5">
        <v>20</v>
      </c>
      <c r="E24" s="5">
        <v>4</v>
      </c>
      <c r="F24" s="30">
        <f t="shared" si="4"/>
        <v>16</v>
      </c>
      <c r="G24" s="9" t="s">
        <v>36</v>
      </c>
      <c r="H24" s="65">
        <v>1100000</v>
      </c>
      <c r="I24" s="62">
        <f t="shared" si="3"/>
        <v>999999.99999999988</v>
      </c>
      <c r="J24" s="31">
        <f t="shared" si="0"/>
        <v>49999.999999999993</v>
      </c>
      <c r="K24" s="74">
        <v>0.4</v>
      </c>
      <c r="L24" s="69">
        <f t="shared" si="1"/>
        <v>20000</v>
      </c>
      <c r="M24" s="20">
        <v>2</v>
      </c>
      <c r="N24" s="71">
        <f t="shared" si="2"/>
        <v>40000</v>
      </c>
      <c r="O24" s="55"/>
      <c r="P24" s="56"/>
      <c r="Q24" s="56"/>
      <c r="R24" s="62">
        <f t="shared" si="5"/>
        <v>0</v>
      </c>
      <c r="S24" s="25"/>
      <c r="U24" s="26"/>
      <c r="Y24" s="4"/>
    </row>
    <row r="25" spans="1:25" ht="18.75" customHeight="1" thickTop="1" thickBot="1" x14ac:dyDescent="0.35">
      <c r="A25" s="32">
        <v>22</v>
      </c>
      <c r="B25" s="83" t="s">
        <v>44</v>
      </c>
      <c r="C25" s="6" t="s">
        <v>12</v>
      </c>
      <c r="D25" s="5">
        <v>10</v>
      </c>
      <c r="E25" s="5">
        <v>10</v>
      </c>
      <c r="F25" s="30">
        <f t="shared" si="4"/>
        <v>0</v>
      </c>
      <c r="G25" s="9" t="s">
        <v>51</v>
      </c>
      <c r="H25" s="65">
        <v>440000</v>
      </c>
      <c r="I25" s="62">
        <f t="shared" si="3"/>
        <v>399999.99999999994</v>
      </c>
      <c r="J25" s="31">
        <f t="shared" si="0"/>
        <v>39999.999999999993</v>
      </c>
      <c r="K25" s="74">
        <v>0.4</v>
      </c>
      <c r="L25" s="69">
        <f t="shared" si="1"/>
        <v>15999.999999999998</v>
      </c>
      <c r="M25" s="20">
        <v>4</v>
      </c>
      <c r="N25" s="71">
        <f t="shared" si="2"/>
        <v>63999.999999999993</v>
      </c>
      <c r="O25" s="55"/>
      <c r="P25" s="56"/>
      <c r="Q25" s="56"/>
      <c r="R25" s="62">
        <f t="shared" si="5"/>
        <v>0</v>
      </c>
      <c r="S25" s="25"/>
      <c r="U25" s="26"/>
      <c r="V25" s="26"/>
      <c r="Y25" s="4"/>
    </row>
    <row r="26" spans="1:25" ht="18.75" customHeight="1" thickTop="1" thickBot="1" x14ac:dyDescent="0.35">
      <c r="A26" s="32">
        <v>23</v>
      </c>
      <c r="B26" s="121" t="s">
        <v>168</v>
      </c>
      <c r="C26" s="6" t="s">
        <v>12</v>
      </c>
      <c r="D26" s="5">
        <v>10</v>
      </c>
      <c r="E26" s="5">
        <v>10</v>
      </c>
      <c r="F26" s="30">
        <f t="shared" si="4"/>
        <v>0</v>
      </c>
      <c r="G26" s="9" t="s">
        <v>36</v>
      </c>
      <c r="H26" s="65">
        <v>440000</v>
      </c>
      <c r="I26" s="62">
        <f t="shared" si="3"/>
        <v>399999.99999999994</v>
      </c>
      <c r="J26" s="31">
        <f t="shared" si="0"/>
        <v>39999.999999999993</v>
      </c>
      <c r="K26" s="74">
        <v>0.4</v>
      </c>
      <c r="L26" s="69">
        <f t="shared" si="1"/>
        <v>15999.999999999998</v>
      </c>
      <c r="M26" s="20">
        <v>10</v>
      </c>
      <c r="N26" s="71">
        <f t="shared" si="2"/>
        <v>159999.99999999997</v>
      </c>
      <c r="O26" s="55"/>
      <c r="P26" s="56"/>
      <c r="Q26" s="56"/>
      <c r="R26" s="62">
        <f t="shared" si="5"/>
        <v>0</v>
      </c>
      <c r="S26" s="25"/>
      <c r="U26" s="26"/>
      <c r="V26" s="26"/>
      <c r="Y26" s="4"/>
    </row>
    <row r="27" spans="1:25" ht="18.75" customHeight="1" thickTop="1" thickBot="1" x14ac:dyDescent="0.35">
      <c r="A27" s="32">
        <v>24</v>
      </c>
      <c r="B27" s="83" t="s">
        <v>50</v>
      </c>
      <c r="C27" s="6" t="s">
        <v>12</v>
      </c>
      <c r="D27" s="5">
        <v>10</v>
      </c>
      <c r="E27" s="5">
        <v>10</v>
      </c>
      <c r="F27" s="30">
        <f t="shared" si="4"/>
        <v>0</v>
      </c>
      <c r="G27" s="9" t="s">
        <v>36</v>
      </c>
      <c r="H27" s="65">
        <v>440000</v>
      </c>
      <c r="I27" s="62">
        <f t="shared" si="3"/>
        <v>399999.99999999994</v>
      </c>
      <c r="J27" s="31">
        <f t="shared" si="0"/>
        <v>39999.999999999993</v>
      </c>
      <c r="K27" s="74">
        <v>0.4</v>
      </c>
      <c r="L27" s="69">
        <f t="shared" si="1"/>
        <v>15999.999999999998</v>
      </c>
      <c r="M27" s="20">
        <v>2</v>
      </c>
      <c r="N27" s="71">
        <f t="shared" si="2"/>
        <v>31999.999999999996</v>
      </c>
      <c r="O27" s="55"/>
      <c r="P27" s="56"/>
      <c r="Q27" s="56"/>
      <c r="R27" s="62">
        <f t="shared" si="5"/>
        <v>0</v>
      </c>
      <c r="S27" s="25"/>
      <c r="T27" s="27"/>
      <c r="U27" s="26"/>
      <c r="V27" s="26"/>
      <c r="Y27" s="4"/>
    </row>
    <row r="28" spans="1:25" ht="18.75" customHeight="1" thickTop="1" thickBot="1" x14ac:dyDescent="0.35">
      <c r="A28" s="32">
        <v>25</v>
      </c>
      <c r="B28" s="83" t="s">
        <v>94</v>
      </c>
      <c r="C28" s="6" t="s">
        <v>41</v>
      </c>
      <c r="D28" s="5">
        <v>10</v>
      </c>
      <c r="E28" s="5">
        <v>8</v>
      </c>
      <c r="F28" s="30">
        <f t="shared" si="4"/>
        <v>2</v>
      </c>
      <c r="G28" s="9" t="s">
        <v>36</v>
      </c>
      <c r="H28" s="65">
        <v>440000</v>
      </c>
      <c r="I28" s="62">
        <f t="shared" si="3"/>
        <v>399999.99999999994</v>
      </c>
      <c r="J28" s="31">
        <f t="shared" si="0"/>
        <v>39999.999999999993</v>
      </c>
      <c r="K28" s="74">
        <v>0.4</v>
      </c>
      <c r="L28" s="69">
        <f t="shared" si="1"/>
        <v>15999.999999999998</v>
      </c>
      <c r="M28" s="20">
        <v>3</v>
      </c>
      <c r="N28" s="71">
        <f t="shared" si="2"/>
        <v>47999.999999999993</v>
      </c>
      <c r="O28" s="58"/>
      <c r="P28" s="59"/>
      <c r="Q28" s="56"/>
      <c r="R28" s="62">
        <f t="shared" si="5"/>
        <v>0</v>
      </c>
      <c r="S28" s="25"/>
      <c r="T28" s="28"/>
      <c r="U28" s="26"/>
    </row>
    <row r="29" spans="1:25" ht="18.75" customHeight="1" thickTop="1" thickBot="1" x14ac:dyDescent="0.35">
      <c r="A29" s="32">
        <v>26</v>
      </c>
      <c r="B29" s="83" t="s">
        <v>40</v>
      </c>
      <c r="C29" s="6" t="s">
        <v>41</v>
      </c>
      <c r="D29" s="5">
        <v>20</v>
      </c>
      <c r="E29" s="5">
        <v>20</v>
      </c>
      <c r="F29" s="30">
        <f t="shared" si="4"/>
        <v>0</v>
      </c>
      <c r="G29" s="9" t="s">
        <v>51</v>
      </c>
      <c r="H29" s="65">
        <v>880000</v>
      </c>
      <c r="I29" s="62">
        <f t="shared" si="3"/>
        <v>799999.99999999988</v>
      </c>
      <c r="J29" s="31">
        <f t="shared" si="0"/>
        <v>39999.999999999993</v>
      </c>
      <c r="K29" s="74">
        <v>0.4</v>
      </c>
      <c r="L29" s="69">
        <f t="shared" si="1"/>
        <v>15999.999999999998</v>
      </c>
      <c r="M29" s="20">
        <v>2</v>
      </c>
      <c r="N29" s="71">
        <f t="shared" si="2"/>
        <v>31999.999999999996</v>
      </c>
      <c r="O29" s="60"/>
      <c r="P29" s="60"/>
      <c r="Q29" s="56"/>
      <c r="R29" s="62">
        <f t="shared" si="5"/>
        <v>0</v>
      </c>
      <c r="S29" s="25"/>
      <c r="T29" s="29"/>
      <c r="U29" s="26"/>
    </row>
    <row r="30" spans="1:25" ht="18.75" customHeight="1" thickTop="1" thickBot="1" x14ac:dyDescent="0.35">
      <c r="A30" s="32">
        <v>27</v>
      </c>
      <c r="B30" s="121" t="s">
        <v>40</v>
      </c>
      <c r="C30" s="6" t="s">
        <v>41</v>
      </c>
      <c r="D30" s="5">
        <v>10</v>
      </c>
      <c r="E30" s="5">
        <v>4</v>
      </c>
      <c r="F30" s="30">
        <f t="shared" si="4"/>
        <v>6</v>
      </c>
      <c r="G30" s="9" t="s">
        <v>36</v>
      </c>
      <c r="H30" s="65">
        <v>440000</v>
      </c>
      <c r="I30" s="62">
        <f t="shared" si="3"/>
        <v>399999.99999999994</v>
      </c>
      <c r="J30" s="31">
        <f t="shared" si="0"/>
        <v>39999.999999999993</v>
      </c>
      <c r="K30" s="74">
        <v>0.4</v>
      </c>
      <c r="L30" s="69">
        <f t="shared" si="1"/>
        <v>15999.999999999998</v>
      </c>
      <c r="M30" s="20">
        <v>4</v>
      </c>
      <c r="N30" s="71">
        <f t="shared" si="2"/>
        <v>63999.999999999993</v>
      </c>
      <c r="O30" s="60"/>
      <c r="P30" s="60"/>
      <c r="Q30" s="56"/>
      <c r="R30" s="62">
        <f t="shared" si="5"/>
        <v>0</v>
      </c>
      <c r="S30" s="25"/>
      <c r="T30" s="28"/>
      <c r="U30" s="26"/>
    </row>
    <row r="31" spans="1:25" ht="18.75" customHeight="1" thickTop="1" thickBot="1" x14ac:dyDescent="0.35">
      <c r="A31" s="32">
        <v>28</v>
      </c>
      <c r="B31" s="83" t="s">
        <v>42</v>
      </c>
      <c r="C31" s="6" t="s">
        <v>12</v>
      </c>
      <c r="D31" s="6">
        <v>20</v>
      </c>
      <c r="E31" s="6">
        <v>8</v>
      </c>
      <c r="F31" s="30">
        <f t="shared" si="4"/>
        <v>12</v>
      </c>
      <c r="G31" s="9" t="s">
        <v>36</v>
      </c>
      <c r="H31" s="65">
        <v>880000</v>
      </c>
      <c r="I31" s="62">
        <f t="shared" si="3"/>
        <v>799999.99999999988</v>
      </c>
      <c r="J31" s="31">
        <f t="shared" si="0"/>
        <v>39999.999999999993</v>
      </c>
      <c r="K31" s="74">
        <v>0.4</v>
      </c>
      <c r="L31" s="69">
        <f t="shared" si="1"/>
        <v>15999.999999999998</v>
      </c>
      <c r="M31" s="20">
        <v>3</v>
      </c>
      <c r="N31" s="71">
        <f t="shared" si="2"/>
        <v>47999.999999999993</v>
      </c>
      <c r="O31" s="60"/>
      <c r="P31" s="60"/>
      <c r="Q31" s="56"/>
      <c r="R31" s="62">
        <f t="shared" si="5"/>
        <v>0</v>
      </c>
      <c r="S31" s="25"/>
      <c r="U31" s="26"/>
    </row>
    <row r="32" spans="1:25" ht="18.75" customHeight="1" thickTop="1" thickBot="1" x14ac:dyDescent="0.35">
      <c r="A32" s="32">
        <v>29</v>
      </c>
      <c r="B32" s="83" t="s">
        <v>95</v>
      </c>
      <c r="C32" s="6" t="s">
        <v>12</v>
      </c>
      <c r="D32" s="6">
        <v>10</v>
      </c>
      <c r="E32" s="6">
        <v>10</v>
      </c>
      <c r="F32" s="30">
        <f t="shared" si="4"/>
        <v>0</v>
      </c>
      <c r="G32" s="9" t="s">
        <v>36</v>
      </c>
      <c r="H32" s="65">
        <v>440000</v>
      </c>
      <c r="I32" s="62">
        <f t="shared" si="3"/>
        <v>399999.99999999994</v>
      </c>
      <c r="J32" s="31">
        <f t="shared" si="0"/>
        <v>39999.999999999993</v>
      </c>
      <c r="K32" s="74">
        <v>0.4</v>
      </c>
      <c r="L32" s="69">
        <f t="shared" si="1"/>
        <v>15999.999999999998</v>
      </c>
      <c r="M32" s="20">
        <v>2</v>
      </c>
      <c r="N32" s="71">
        <f t="shared" si="2"/>
        <v>31999.999999999996</v>
      </c>
      <c r="O32" s="60"/>
      <c r="P32" s="60"/>
      <c r="Q32" s="56"/>
      <c r="R32" s="62">
        <f t="shared" si="5"/>
        <v>0</v>
      </c>
      <c r="S32" s="25"/>
      <c r="U32" s="26"/>
    </row>
    <row r="33" spans="1:26" ht="18.75" customHeight="1" thickTop="1" thickBot="1" x14ac:dyDescent="0.35">
      <c r="A33" s="32">
        <v>30</v>
      </c>
      <c r="B33" s="83" t="s">
        <v>96</v>
      </c>
      <c r="C33" s="6" t="s">
        <v>12</v>
      </c>
      <c r="D33" s="11">
        <v>30</v>
      </c>
      <c r="E33" s="11">
        <v>16</v>
      </c>
      <c r="F33" s="30">
        <f t="shared" si="4"/>
        <v>14</v>
      </c>
      <c r="G33" s="9" t="s">
        <v>36</v>
      </c>
      <c r="H33" s="65">
        <v>1320000</v>
      </c>
      <c r="I33" s="62">
        <f t="shared" ref="I33:I35" si="22">IF(G33="현금",H33,H33/1.1)</f>
        <v>1200000</v>
      </c>
      <c r="J33" s="31">
        <f t="shared" ref="J33:J35" si="23">I33/D33</f>
        <v>40000</v>
      </c>
      <c r="K33" s="74">
        <v>0.4</v>
      </c>
      <c r="L33" s="69">
        <f t="shared" ref="L33:L35" si="24">PRODUCT(K33,J33)</f>
        <v>16000</v>
      </c>
      <c r="M33" s="20">
        <v>2</v>
      </c>
      <c r="N33" s="71">
        <f t="shared" ref="N33:N35" si="25">PRODUCT(M33,L33)</f>
        <v>32000</v>
      </c>
      <c r="O33" s="60"/>
      <c r="P33" s="60"/>
      <c r="Q33" s="56"/>
      <c r="R33" s="62">
        <f t="shared" si="5"/>
        <v>0</v>
      </c>
      <c r="S33" s="25"/>
      <c r="U33" s="26"/>
    </row>
    <row r="34" spans="1:26" ht="18.75" customHeight="1" thickTop="1" thickBot="1" x14ac:dyDescent="0.35">
      <c r="A34" s="32">
        <v>31</v>
      </c>
      <c r="B34" s="83" t="s">
        <v>97</v>
      </c>
      <c r="C34" s="6" t="s">
        <v>41</v>
      </c>
      <c r="D34" s="6">
        <v>20</v>
      </c>
      <c r="E34" s="6">
        <v>13</v>
      </c>
      <c r="F34" s="30">
        <f t="shared" si="4"/>
        <v>7</v>
      </c>
      <c r="G34" s="9" t="s">
        <v>51</v>
      </c>
      <c r="H34" s="65">
        <v>880000</v>
      </c>
      <c r="I34" s="62">
        <f t="shared" si="22"/>
        <v>799999.99999999988</v>
      </c>
      <c r="J34" s="31">
        <f t="shared" si="23"/>
        <v>39999.999999999993</v>
      </c>
      <c r="K34" s="74">
        <v>0.4</v>
      </c>
      <c r="L34" s="69">
        <f t="shared" si="24"/>
        <v>15999.999999999998</v>
      </c>
      <c r="M34" s="20">
        <v>8</v>
      </c>
      <c r="N34" s="71">
        <f t="shared" si="25"/>
        <v>127999.99999999999</v>
      </c>
      <c r="O34" s="60"/>
      <c r="P34" s="60"/>
      <c r="Q34" s="56"/>
      <c r="R34" s="62">
        <f t="shared" si="5"/>
        <v>0</v>
      </c>
      <c r="S34" s="25"/>
      <c r="U34" s="26"/>
    </row>
    <row r="35" spans="1:26" ht="18.75" customHeight="1" thickTop="1" thickBot="1" x14ac:dyDescent="0.35">
      <c r="A35" s="32">
        <v>32</v>
      </c>
      <c r="B35" s="121" t="s">
        <v>168</v>
      </c>
      <c r="C35" s="6" t="s">
        <v>12</v>
      </c>
      <c r="D35" s="6">
        <v>10</v>
      </c>
      <c r="E35" s="6">
        <v>1</v>
      </c>
      <c r="F35" s="30">
        <f t="shared" si="4"/>
        <v>9</v>
      </c>
      <c r="G35" s="9" t="s">
        <v>36</v>
      </c>
      <c r="H35" s="65">
        <v>440000</v>
      </c>
      <c r="I35" s="62">
        <f t="shared" si="22"/>
        <v>399999.99999999994</v>
      </c>
      <c r="J35" s="31">
        <f t="shared" si="23"/>
        <v>39999.999999999993</v>
      </c>
      <c r="K35" s="74">
        <v>0.4</v>
      </c>
      <c r="L35" s="69">
        <f t="shared" si="24"/>
        <v>15999.999999999998</v>
      </c>
      <c r="M35" s="20">
        <v>1</v>
      </c>
      <c r="N35" s="71">
        <f t="shared" si="25"/>
        <v>15999.999999999998</v>
      </c>
      <c r="O35" s="60"/>
      <c r="P35" s="60"/>
      <c r="Q35" s="56"/>
      <c r="R35" s="62">
        <f t="shared" si="5"/>
        <v>0</v>
      </c>
      <c r="S35" s="25"/>
      <c r="U35" s="26"/>
    </row>
    <row r="36" spans="1:26" ht="18.75" customHeight="1" thickTop="1" thickBot="1" x14ac:dyDescent="0.35">
      <c r="A36" s="32">
        <v>33</v>
      </c>
      <c r="B36" s="122" t="s">
        <v>170</v>
      </c>
      <c r="C36" s="5" t="s">
        <v>12</v>
      </c>
      <c r="D36" s="5">
        <v>20</v>
      </c>
      <c r="E36" s="5">
        <v>4</v>
      </c>
      <c r="F36" s="30">
        <f t="shared" si="4"/>
        <v>16</v>
      </c>
      <c r="G36" s="9" t="s">
        <v>36</v>
      </c>
      <c r="H36" s="65">
        <v>880000</v>
      </c>
      <c r="I36" s="62">
        <f t="shared" si="3"/>
        <v>799999.99999999988</v>
      </c>
      <c r="J36" s="31">
        <f t="shared" si="0"/>
        <v>39999.999999999993</v>
      </c>
      <c r="K36" s="74">
        <v>0.4</v>
      </c>
      <c r="L36" s="69">
        <f t="shared" si="1"/>
        <v>15999.999999999998</v>
      </c>
      <c r="M36" s="20">
        <v>4</v>
      </c>
      <c r="N36" s="71">
        <f t="shared" si="2"/>
        <v>63999.999999999993</v>
      </c>
      <c r="O36" s="111" t="s">
        <v>18</v>
      </c>
      <c r="P36" s="111"/>
      <c r="Q36" s="111"/>
      <c r="R36" s="63">
        <f>SUM(Q5:Q35)</f>
        <v>13530000</v>
      </c>
      <c r="S36" s="25"/>
      <c r="U36" s="26"/>
    </row>
    <row r="37" spans="1:26" ht="18.75" customHeight="1" thickTop="1" thickBot="1" x14ac:dyDescent="0.35">
      <c r="A37" s="32">
        <v>34</v>
      </c>
      <c r="B37" s="85" t="s">
        <v>48</v>
      </c>
      <c r="C37" s="5" t="s">
        <v>12</v>
      </c>
      <c r="D37" s="5">
        <v>35</v>
      </c>
      <c r="E37" s="5">
        <v>6</v>
      </c>
      <c r="F37" s="30">
        <f t="shared" si="4"/>
        <v>29</v>
      </c>
      <c r="G37" s="9" t="s">
        <v>36</v>
      </c>
      <c r="H37" s="65">
        <v>1540000</v>
      </c>
      <c r="I37" s="62">
        <f t="shared" si="3"/>
        <v>1400000</v>
      </c>
      <c r="J37" s="31">
        <f t="shared" si="0"/>
        <v>40000</v>
      </c>
      <c r="K37" s="74">
        <v>0.4</v>
      </c>
      <c r="L37" s="69">
        <f t="shared" si="1"/>
        <v>16000</v>
      </c>
      <c r="M37" s="20">
        <v>6</v>
      </c>
      <c r="N37" s="71">
        <f t="shared" si="2"/>
        <v>96000</v>
      </c>
      <c r="O37" s="90"/>
      <c r="P37" s="90"/>
      <c r="Q37" s="90"/>
      <c r="R37" s="63"/>
      <c r="S37" s="25"/>
      <c r="U37" s="26"/>
    </row>
    <row r="38" spans="1:26" ht="18.75" customHeight="1" thickTop="1" thickBot="1" x14ac:dyDescent="0.35">
      <c r="A38" s="32">
        <v>35</v>
      </c>
      <c r="B38" s="85" t="s">
        <v>38</v>
      </c>
      <c r="C38" s="5" t="s">
        <v>12</v>
      </c>
      <c r="D38" s="23">
        <v>10</v>
      </c>
      <c r="E38" s="23">
        <v>10</v>
      </c>
      <c r="F38" s="30">
        <f t="shared" si="4"/>
        <v>0</v>
      </c>
      <c r="G38" s="9" t="s">
        <v>51</v>
      </c>
      <c r="H38" s="65">
        <v>440000</v>
      </c>
      <c r="I38" s="62">
        <f t="shared" si="3"/>
        <v>399999.99999999994</v>
      </c>
      <c r="J38" s="31">
        <f t="shared" si="0"/>
        <v>39999.999999999993</v>
      </c>
      <c r="K38" s="74">
        <v>0.4</v>
      </c>
      <c r="L38" s="69">
        <f t="shared" si="1"/>
        <v>15999.999999999998</v>
      </c>
      <c r="M38" s="20">
        <v>2</v>
      </c>
      <c r="N38" s="71">
        <f t="shared" si="2"/>
        <v>31999.999999999996</v>
      </c>
      <c r="O38" s="111" t="s">
        <v>16</v>
      </c>
      <c r="P38" s="111"/>
      <c r="Q38" s="111"/>
      <c r="R38" s="61"/>
      <c r="S38" s="25"/>
      <c r="U38" s="26"/>
    </row>
    <row r="39" spans="1:26" ht="18.75" customHeight="1" thickTop="1" thickBot="1" x14ac:dyDescent="0.35">
      <c r="A39" s="32">
        <v>36</v>
      </c>
      <c r="B39" s="85"/>
      <c r="C39" s="5"/>
      <c r="D39" s="5"/>
      <c r="E39" s="5"/>
      <c r="F39" s="30"/>
      <c r="G39" s="9"/>
      <c r="H39" s="65"/>
      <c r="I39" s="62">
        <f t="shared" si="3"/>
        <v>0</v>
      </c>
      <c r="J39" s="31" t="e">
        <f t="shared" si="0"/>
        <v>#DIV/0!</v>
      </c>
      <c r="K39" s="74">
        <v>0.4</v>
      </c>
      <c r="L39" s="69" t="e">
        <f t="shared" si="1"/>
        <v>#DIV/0!</v>
      </c>
      <c r="M39" s="20"/>
      <c r="N39" s="71" t="e">
        <f t="shared" si="2"/>
        <v>#DIV/0!</v>
      </c>
      <c r="O39" s="111" t="s">
        <v>17</v>
      </c>
      <c r="P39" s="111"/>
      <c r="Q39" s="111"/>
      <c r="R39" s="61">
        <f>R38+R36</f>
        <v>13530000</v>
      </c>
      <c r="S39" s="25"/>
      <c r="U39" s="26"/>
    </row>
    <row r="40" spans="1:26" ht="18.75" customHeight="1" thickTop="1" thickBot="1" x14ac:dyDescent="0.35">
      <c r="A40" s="32">
        <v>37</v>
      </c>
      <c r="B40" s="85" t="s">
        <v>98</v>
      </c>
      <c r="C40" s="5" t="s">
        <v>12</v>
      </c>
      <c r="D40" s="5">
        <v>10</v>
      </c>
      <c r="E40" s="5">
        <v>10</v>
      </c>
      <c r="F40" s="30">
        <f t="shared" si="4"/>
        <v>0</v>
      </c>
      <c r="G40" s="9" t="s">
        <v>35</v>
      </c>
      <c r="H40" s="65">
        <v>440000</v>
      </c>
      <c r="I40" s="62">
        <f t="shared" si="3"/>
        <v>440000</v>
      </c>
      <c r="J40" s="31">
        <f t="shared" si="0"/>
        <v>44000</v>
      </c>
      <c r="K40" s="74">
        <v>0.4</v>
      </c>
      <c r="L40" s="69">
        <f t="shared" si="1"/>
        <v>17600</v>
      </c>
      <c r="M40" s="9">
        <v>8</v>
      </c>
      <c r="N40" s="71">
        <f t="shared" si="2"/>
        <v>140800</v>
      </c>
      <c r="O40" s="113" t="s">
        <v>105</v>
      </c>
      <c r="P40" s="113"/>
      <c r="Q40" s="113"/>
      <c r="R40" s="115">
        <v>1800000</v>
      </c>
      <c r="S40" s="25"/>
      <c r="T40" s="10"/>
      <c r="U40" s="112"/>
      <c r="V40" s="112"/>
      <c r="W40" s="112"/>
      <c r="X40" s="10"/>
    </row>
    <row r="41" spans="1:26" ht="18.75" customHeight="1" thickTop="1" thickBot="1" x14ac:dyDescent="0.35">
      <c r="A41" s="32">
        <v>38</v>
      </c>
      <c r="B41" s="85" t="s">
        <v>99</v>
      </c>
      <c r="C41" s="5" t="s">
        <v>12</v>
      </c>
      <c r="D41" s="23">
        <v>20</v>
      </c>
      <c r="E41" s="23">
        <v>10</v>
      </c>
      <c r="F41" s="30">
        <f t="shared" si="4"/>
        <v>10</v>
      </c>
      <c r="G41" s="9" t="s">
        <v>36</v>
      </c>
      <c r="H41" s="66">
        <v>880000</v>
      </c>
      <c r="I41" s="62">
        <f t="shared" si="3"/>
        <v>799999.99999999988</v>
      </c>
      <c r="J41" s="31">
        <f t="shared" si="0"/>
        <v>39999.999999999993</v>
      </c>
      <c r="K41" s="74">
        <v>0.4</v>
      </c>
      <c r="L41" s="69">
        <f t="shared" si="1"/>
        <v>15999.999999999998</v>
      </c>
      <c r="M41" s="86">
        <v>3</v>
      </c>
      <c r="N41" s="71">
        <f t="shared" si="2"/>
        <v>47999.999999999993</v>
      </c>
      <c r="O41" s="113"/>
      <c r="P41" s="113"/>
      <c r="Q41" s="113"/>
      <c r="R41" s="115"/>
      <c r="S41" s="25"/>
      <c r="T41" s="10"/>
      <c r="U41" s="112"/>
      <c r="V41" s="112"/>
      <c r="W41" s="112"/>
      <c r="X41" s="10"/>
    </row>
    <row r="42" spans="1:26" ht="18.75" customHeight="1" thickTop="1" thickBot="1" x14ac:dyDescent="0.35">
      <c r="A42" s="32">
        <v>39</v>
      </c>
      <c r="B42" s="85"/>
      <c r="C42" s="5"/>
      <c r="D42" s="5"/>
      <c r="E42" s="5"/>
      <c r="F42" s="30"/>
      <c r="G42" s="9"/>
      <c r="H42" s="65"/>
      <c r="I42" s="62">
        <f t="shared" si="3"/>
        <v>0</v>
      </c>
      <c r="J42" s="31" t="e">
        <f t="shared" si="0"/>
        <v>#DIV/0!</v>
      </c>
      <c r="K42" s="74">
        <v>0.4</v>
      </c>
      <c r="L42" s="69" t="e">
        <f t="shared" si="1"/>
        <v>#DIV/0!</v>
      </c>
      <c r="M42" s="86"/>
      <c r="N42" s="71" t="e">
        <f t="shared" si="2"/>
        <v>#DIV/0!</v>
      </c>
      <c r="O42" s="113" t="s">
        <v>106</v>
      </c>
      <c r="P42" s="113"/>
      <c r="Q42" s="113"/>
      <c r="R42" s="114">
        <f>SUMIF(N4:N54,"&gt;0",N4:N54)</f>
        <v>3486399.9999999995</v>
      </c>
      <c r="S42" s="25"/>
      <c r="T42" s="10"/>
      <c r="U42" s="112"/>
      <c r="V42" s="112"/>
      <c r="W42" s="112"/>
      <c r="X42" s="10"/>
    </row>
    <row r="43" spans="1:26" ht="18.75" customHeight="1" thickTop="1" thickBot="1" x14ac:dyDescent="0.35">
      <c r="A43" s="32">
        <v>40</v>
      </c>
      <c r="B43" s="85" t="s">
        <v>45</v>
      </c>
      <c r="C43" s="5" t="s">
        <v>41</v>
      </c>
      <c r="D43" s="23">
        <v>10</v>
      </c>
      <c r="E43" s="23">
        <v>3</v>
      </c>
      <c r="F43" s="30">
        <f t="shared" si="4"/>
        <v>7</v>
      </c>
      <c r="G43" s="9" t="s">
        <v>51</v>
      </c>
      <c r="H43" s="66">
        <v>440000</v>
      </c>
      <c r="I43" s="62">
        <f t="shared" si="3"/>
        <v>399999.99999999994</v>
      </c>
      <c r="J43" s="31">
        <f t="shared" si="0"/>
        <v>39999.999999999993</v>
      </c>
      <c r="K43" s="74">
        <v>0.4</v>
      </c>
      <c r="L43" s="69">
        <f t="shared" si="1"/>
        <v>15999.999999999998</v>
      </c>
      <c r="M43" s="86">
        <v>2</v>
      </c>
      <c r="N43" s="71">
        <f t="shared" si="2"/>
        <v>31999.999999999996</v>
      </c>
      <c r="O43" s="113"/>
      <c r="P43" s="113"/>
      <c r="Q43" s="113"/>
      <c r="R43" s="114"/>
      <c r="S43" s="25"/>
      <c r="T43" s="10"/>
      <c r="U43" s="112"/>
      <c r="V43" s="112"/>
      <c r="W43" s="112"/>
      <c r="X43" s="10"/>
      <c r="Y43"/>
      <c r="Z43"/>
    </row>
    <row r="44" spans="1:26" ht="18.75" customHeight="1" thickTop="1" thickBot="1" x14ac:dyDescent="0.35">
      <c r="A44" s="32">
        <v>41</v>
      </c>
      <c r="B44" s="122" t="s">
        <v>124</v>
      </c>
      <c r="C44" s="3" t="s">
        <v>12</v>
      </c>
      <c r="D44" s="8">
        <v>20</v>
      </c>
      <c r="E44" s="8">
        <v>0</v>
      </c>
      <c r="F44" s="30">
        <f t="shared" si="4"/>
        <v>20</v>
      </c>
      <c r="G44" s="9" t="s">
        <v>36</v>
      </c>
      <c r="H44" s="66">
        <v>880000</v>
      </c>
      <c r="I44" s="62">
        <f t="shared" si="3"/>
        <v>799999.99999999988</v>
      </c>
      <c r="J44" s="31">
        <f t="shared" si="0"/>
        <v>39999.999999999993</v>
      </c>
      <c r="K44" s="74">
        <v>0.4</v>
      </c>
      <c r="L44" s="69">
        <f t="shared" si="1"/>
        <v>15999.999999999998</v>
      </c>
      <c r="M44" s="86"/>
      <c r="N44" s="71">
        <f t="shared" si="2"/>
        <v>15999.999999999998</v>
      </c>
      <c r="O44" s="113" t="s">
        <v>22</v>
      </c>
      <c r="P44" s="113"/>
      <c r="Q44" s="113"/>
      <c r="R44" s="92">
        <f>R40+R42</f>
        <v>5286400</v>
      </c>
      <c r="X44"/>
    </row>
    <row r="45" spans="1:26" ht="18.75" customHeight="1" thickTop="1" thickBot="1" x14ac:dyDescent="0.35">
      <c r="A45" s="32">
        <v>42</v>
      </c>
      <c r="B45" s="85" t="s">
        <v>43</v>
      </c>
      <c r="C45" s="3" t="s">
        <v>12</v>
      </c>
      <c r="D45" s="8">
        <v>10</v>
      </c>
      <c r="E45" s="8">
        <v>8</v>
      </c>
      <c r="F45" s="30">
        <f t="shared" ref="F45" si="26">D45-E45</f>
        <v>2</v>
      </c>
      <c r="G45" s="9" t="s">
        <v>36</v>
      </c>
      <c r="H45" s="66">
        <v>440000</v>
      </c>
      <c r="I45" s="62">
        <f t="shared" ref="I45" si="27">IF(G45="현금",H45,H45/1.1)</f>
        <v>399999.99999999994</v>
      </c>
      <c r="J45" s="31">
        <f t="shared" ref="J45" si="28">I45/D45</f>
        <v>39999.999999999993</v>
      </c>
      <c r="K45" s="74">
        <v>0.4</v>
      </c>
      <c r="L45" s="69">
        <f t="shared" ref="L45" si="29">PRODUCT(K45,J45)</f>
        <v>15999.999999999998</v>
      </c>
      <c r="M45" s="86">
        <v>2</v>
      </c>
      <c r="N45" s="71">
        <f t="shared" ref="N45" si="30">PRODUCT(M45,L45)</f>
        <v>31999.999999999996</v>
      </c>
      <c r="O45" s="91"/>
      <c r="P45" s="91"/>
      <c r="Q45" s="91"/>
      <c r="R45" s="92"/>
      <c r="X45"/>
    </row>
    <row r="46" spans="1:26" ht="18.75" customHeight="1" thickTop="1" thickBot="1" x14ac:dyDescent="0.35">
      <c r="A46" s="32">
        <v>43</v>
      </c>
      <c r="B46" s="122" t="s">
        <v>118</v>
      </c>
      <c r="C46" s="3" t="s">
        <v>12</v>
      </c>
      <c r="D46" s="8">
        <v>20</v>
      </c>
      <c r="E46" s="8">
        <v>0</v>
      </c>
      <c r="F46" s="30">
        <f t="shared" si="4"/>
        <v>20</v>
      </c>
      <c r="G46" s="9" t="s">
        <v>35</v>
      </c>
      <c r="H46" s="67">
        <v>880000</v>
      </c>
      <c r="I46" s="62">
        <f t="shared" si="3"/>
        <v>880000</v>
      </c>
      <c r="J46" s="31">
        <f t="shared" si="0"/>
        <v>44000</v>
      </c>
      <c r="K46" s="74">
        <v>0.4</v>
      </c>
      <c r="L46" s="69">
        <f t="shared" si="1"/>
        <v>17600</v>
      </c>
      <c r="M46" s="86"/>
      <c r="N46" s="71">
        <f t="shared" si="2"/>
        <v>17600</v>
      </c>
      <c r="O46" s="117" t="s">
        <v>133</v>
      </c>
      <c r="P46" s="117"/>
      <c r="Q46" s="117"/>
      <c r="R46" s="117"/>
      <c r="S46"/>
      <c r="X46"/>
      <c r="Y46"/>
      <c r="Z46"/>
    </row>
    <row r="47" spans="1:26" ht="18.75" customHeight="1" thickTop="1" thickBot="1" x14ac:dyDescent="0.35">
      <c r="A47" s="32">
        <v>44</v>
      </c>
      <c r="B47" s="95" t="s">
        <v>117</v>
      </c>
      <c r="C47" s="3" t="s">
        <v>12</v>
      </c>
      <c r="D47" s="8">
        <v>20</v>
      </c>
      <c r="E47" s="8">
        <v>17</v>
      </c>
      <c r="F47" s="30">
        <f t="shared" si="4"/>
        <v>3</v>
      </c>
      <c r="G47" s="9" t="s">
        <v>36</v>
      </c>
      <c r="H47" s="66">
        <v>880000</v>
      </c>
      <c r="I47" s="62">
        <f t="shared" si="3"/>
        <v>799999.99999999988</v>
      </c>
      <c r="J47" s="31">
        <f t="shared" si="0"/>
        <v>39999.999999999993</v>
      </c>
      <c r="K47" s="74">
        <v>0.4</v>
      </c>
      <c r="L47" s="69">
        <f t="shared" si="1"/>
        <v>15999.999999999998</v>
      </c>
      <c r="M47" s="86">
        <v>9</v>
      </c>
      <c r="N47" s="71">
        <f t="shared" si="2"/>
        <v>143999.99999999997</v>
      </c>
      <c r="O47" s="117" t="s">
        <v>134</v>
      </c>
      <c r="P47" s="117"/>
      <c r="Q47" s="117"/>
      <c r="R47" s="117"/>
      <c r="S47"/>
      <c r="X47"/>
      <c r="Y47"/>
      <c r="Z47"/>
    </row>
    <row r="48" spans="1:26" ht="18.75" customHeight="1" thickTop="1" thickBot="1" x14ac:dyDescent="0.35">
      <c r="A48" s="32">
        <v>45</v>
      </c>
      <c r="B48" s="95" t="s">
        <v>118</v>
      </c>
      <c r="C48" s="3" t="s">
        <v>12</v>
      </c>
      <c r="D48" s="8">
        <v>20</v>
      </c>
      <c r="E48" s="8">
        <v>11</v>
      </c>
      <c r="F48" s="30">
        <f t="shared" si="4"/>
        <v>9</v>
      </c>
      <c r="G48" s="9" t="s">
        <v>35</v>
      </c>
      <c r="H48" s="67">
        <v>880000</v>
      </c>
      <c r="I48" s="62">
        <f t="shared" si="3"/>
        <v>880000</v>
      </c>
      <c r="J48" s="31">
        <f t="shared" si="0"/>
        <v>44000</v>
      </c>
      <c r="K48" s="74">
        <v>0.4</v>
      </c>
      <c r="L48" s="69">
        <f t="shared" si="1"/>
        <v>17600</v>
      </c>
      <c r="M48" s="86">
        <v>8</v>
      </c>
      <c r="N48" s="71">
        <f t="shared" si="2"/>
        <v>140800</v>
      </c>
      <c r="O48" s="117" t="s">
        <v>135</v>
      </c>
      <c r="P48" s="117"/>
      <c r="Q48" s="117"/>
      <c r="R48" s="117"/>
      <c r="S48"/>
      <c r="X48"/>
      <c r="Y48"/>
      <c r="Z48"/>
    </row>
    <row r="49" spans="1:26" ht="18.75" customHeight="1" thickTop="1" thickBot="1" x14ac:dyDescent="0.35">
      <c r="A49" s="32">
        <v>46</v>
      </c>
      <c r="B49" s="95" t="s">
        <v>119</v>
      </c>
      <c r="C49" s="3" t="s">
        <v>41</v>
      </c>
      <c r="D49" s="8">
        <v>10</v>
      </c>
      <c r="E49" s="8">
        <v>10</v>
      </c>
      <c r="F49" s="30">
        <f t="shared" si="4"/>
        <v>0</v>
      </c>
      <c r="G49" s="9" t="s">
        <v>51</v>
      </c>
      <c r="H49" s="67">
        <v>440000</v>
      </c>
      <c r="I49" s="62">
        <f t="shared" si="3"/>
        <v>399999.99999999994</v>
      </c>
      <c r="J49" s="31">
        <f t="shared" si="0"/>
        <v>39999.999999999993</v>
      </c>
      <c r="K49" s="74">
        <v>0.4</v>
      </c>
      <c r="L49" s="69">
        <f t="shared" si="1"/>
        <v>15999.999999999998</v>
      </c>
      <c r="M49" s="86">
        <v>6</v>
      </c>
      <c r="N49" s="71">
        <f t="shared" si="2"/>
        <v>95999.999999999985</v>
      </c>
      <c r="O49" s="117" t="s">
        <v>136</v>
      </c>
      <c r="P49" s="117"/>
      <c r="Q49" s="117"/>
      <c r="R49" s="117"/>
      <c r="S49"/>
      <c r="X49"/>
      <c r="Y49"/>
      <c r="Z49"/>
    </row>
    <row r="50" spans="1:26" ht="18.75" customHeight="1" thickTop="1" thickBot="1" x14ac:dyDescent="0.35">
      <c r="A50" s="32">
        <v>47</v>
      </c>
      <c r="B50" s="95" t="s">
        <v>120</v>
      </c>
      <c r="C50" s="3" t="s">
        <v>41</v>
      </c>
      <c r="D50" s="8">
        <v>10</v>
      </c>
      <c r="E50" s="8">
        <v>10</v>
      </c>
      <c r="F50" s="30">
        <f t="shared" si="4"/>
        <v>0</v>
      </c>
      <c r="G50" s="9" t="s">
        <v>36</v>
      </c>
      <c r="H50" s="67">
        <v>440000</v>
      </c>
      <c r="I50" s="62">
        <f t="shared" si="3"/>
        <v>399999.99999999994</v>
      </c>
      <c r="J50" s="31">
        <f t="shared" si="0"/>
        <v>39999.999999999993</v>
      </c>
      <c r="K50" s="74">
        <v>0.4</v>
      </c>
      <c r="L50" s="69">
        <f t="shared" si="1"/>
        <v>15999.999999999998</v>
      </c>
      <c r="M50" s="86">
        <v>6</v>
      </c>
      <c r="N50" s="71">
        <f t="shared" si="2"/>
        <v>95999.999999999985</v>
      </c>
      <c r="O50" s="117" t="s">
        <v>137</v>
      </c>
      <c r="P50" s="117"/>
      <c r="Q50" s="117"/>
      <c r="R50" s="117"/>
      <c r="S50"/>
      <c r="X50"/>
      <c r="Y50"/>
      <c r="Z50"/>
    </row>
    <row r="51" spans="1:26" ht="18.75" customHeight="1" thickTop="1" thickBot="1" x14ac:dyDescent="0.35">
      <c r="A51" s="32">
        <v>48</v>
      </c>
      <c r="B51" s="95" t="s">
        <v>121</v>
      </c>
      <c r="C51" s="3" t="s">
        <v>41</v>
      </c>
      <c r="D51" s="8">
        <v>10</v>
      </c>
      <c r="E51" s="8">
        <v>10</v>
      </c>
      <c r="F51" s="30">
        <f t="shared" si="4"/>
        <v>0</v>
      </c>
      <c r="G51" s="9" t="s">
        <v>36</v>
      </c>
      <c r="H51" s="67">
        <v>440000</v>
      </c>
      <c r="I51" s="62">
        <f t="shared" si="3"/>
        <v>399999.99999999994</v>
      </c>
      <c r="J51" s="31">
        <f t="shared" si="0"/>
        <v>39999.999999999993</v>
      </c>
      <c r="K51" s="74">
        <v>0.4</v>
      </c>
      <c r="L51" s="69">
        <f t="shared" si="1"/>
        <v>15999.999999999998</v>
      </c>
      <c r="M51" s="86">
        <v>5</v>
      </c>
      <c r="N51" s="71">
        <f t="shared" si="2"/>
        <v>79999.999999999985</v>
      </c>
      <c r="O51" s="117" t="s">
        <v>138</v>
      </c>
      <c r="P51" s="117"/>
      <c r="Q51" s="117"/>
      <c r="R51" s="117"/>
      <c r="S51"/>
      <c r="X51"/>
      <c r="Y51"/>
      <c r="Z51"/>
    </row>
    <row r="52" spans="1:26" ht="18.75" customHeight="1" thickTop="1" thickBot="1" x14ac:dyDescent="0.35">
      <c r="A52" s="32">
        <v>49</v>
      </c>
      <c r="B52" s="95" t="s">
        <v>122</v>
      </c>
      <c r="C52" s="3" t="s">
        <v>41</v>
      </c>
      <c r="D52" s="8">
        <v>10</v>
      </c>
      <c r="E52" s="8">
        <v>1</v>
      </c>
      <c r="F52" s="30">
        <f t="shared" si="4"/>
        <v>9</v>
      </c>
      <c r="G52" s="9" t="s">
        <v>36</v>
      </c>
      <c r="H52" s="67">
        <v>440000</v>
      </c>
      <c r="I52" s="62">
        <f t="shared" si="3"/>
        <v>399999.99999999994</v>
      </c>
      <c r="J52" s="31">
        <f t="shared" si="0"/>
        <v>39999.999999999993</v>
      </c>
      <c r="K52" s="74">
        <v>0.4</v>
      </c>
      <c r="L52" s="69">
        <f t="shared" si="1"/>
        <v>15999.999999999998</v>
      </c>
      <c r="M52" s="86">
        <v>1</v>
      </c>
      <c r="N52" s="71">
        <f t="shared" si="2"/>
        <v>15999.999999999998</v>
      </c>
      <c r="O52" s="117" t="s">
        <v>139</v>
      </c>
      <c r="P52" s="117"/>
      <c r="Q52" s="117"/>
      <c r="R52" s="117"/>
      <c r="S52"/>
      <c r="X52"/>
      <c r="Y52"/>
      <c r="Z52"/>
    </row>
    <row r="53" spans="1:26" ht="18.75" customHeight="1" thickTop="1" thickBot="1" x14ac:dyDescent="0.35">
      <c r="A53" s="32">
        <v>50</v>
      </c>
      <c r="B53" s="95" t="s">
        <v>123</v>
      </c>
      <c r="C53" s="3" t="s">
        <v>12</v>
      </c>
      <c r="D53" s="8">
        <v>10</v>
      </c>
      <c r="E53" s="8">
        <v>7</v>
      </c>
      <c r="F53" s="30">
        <f t="shared" si="4"/>
        <v>3</v>
      </c>
      <c r="G53" s="9" t="s">
        <v>36</v>
      </c>
      <c r="H53" s="67">
        <v>440000</v>
      </c>
      <c r="I53" s="62">
        <f t="shared" si="3"/>
        <v>399999.99999999994</v>
      </c>
      <c r="J53" s="31">
        <f t="shared" si="0"/>
        <v>39999.999999999993</v>
      </c>
      <c r="K53" s="74">
        <v>0.4</v>
      </c>
      <c r="L53" s="69">
        <f t="shared" si="1"/>
        <v>15999.999999999998</v>
      </c>
      <c r="M53" s="86">
        <v>3</v>
      </c>
      <c r="N53" s="71">
        <f t="shared" si="2"/>
        <v>47999.999999999993</v>
      </c>
      <c r="O53" s="117" t="s">
        <v>140</v>
      </c>
      <c r="P53" s="117"/>
      <c r="Q53" s="117"/>
      <c r="R53" s="117"/>
      <c r="S53"/>
    </row>
    <row r="54" spans="1:26" ht="18.75" customHeight="1" thickTop="1" thickBot="1" x14ac:dyDescent="0.35">
      <c r="A54" s="32">
        <v>51</v>
      </c>
      <c r="B54" s="95" t="s">
        <v>124</v>
      </c>
      <c r="C54" s="3" t="s">
        <v>12</v>
      </c>
      <c r="D54" s="8">
        <v>10</v>
      </c>
      <c r="E54" s="8">
        <v>8</v>
      </c>
      <c r="F54" s="30">
        <f t="shared" si="4"/>
        <v>2</v>
      </c>
      <c r="G54" s="9" t="s">
        <v>36</v>
      </c>
      <c r="H54" s="67">
        <v>440000</v>
      </c>
      <c r="I54" s="62">
        <f t="shared" si="3"/>
        <v>399999.99999999994</v>
      </c>
      <c r="J54" s="31">
        <f t="shared" si="0"/>
        <v>39999.999999999993</v>
      </c>
      <c r="K54" s="74">
        <v>0.4</v>
      </c>
      <c r="L54" s="69">
        <f t="shared" si="1"/>
        <v>15999.999999999998</v>
      </c>
      <c r="M54" s="86">
        <v>6</v>
      </c>
      <c r="N54" s="71">
        <f t="shared" si="2"/>
        <v>95999.999999999985</v>
      </c>
      <c r="O54" s="117" t="s">
        <v>141</v>
      </c>
      <c r="P54" s="117"/>
      <c r="Q54" s="117"/>
      <c r="R54" s="117"/>
      <c r="S54"/>
    </row>
    <row r="55" spans="1:26" ht="17.25" thickTop="1" x14ac:dyDescent="0.3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</row>
    <row r="56" spans="1:26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26" x14ac:dyDescent="0.3">
      <c r="A57" s="116"/>
      <c r="B57" s="7"/>
      <c r="C57" s="7"/>
      <c r="D57" s="7"/>
      <c r="E57" s="116"/>
      <c r="F57" s="116"/>
      <c r="G57" s="7"/>
      <c r="H57" s="7"/>
      <c r="I57" s="7"/>
      <c r="J57" s="7"/>
      <c r="K57" s="7"/>
      <c r="L57" s="7"/>
      <c r="M57" s="7"/>
      <c r="N57" s="7"/>
    </row>
    <row r="58" spans="1:26" x14ac:dyDescent="0.3">
      <c r="A58" s="116"/>
      <c r="B58" s="7"/>
      <c r="C58" s="7"/>
      <c r="D58" s="7"/>
      <c r="E58" s="116"/>
      <c r="F58" s="116"/>
      <c r="G58" s="7"/>
      <c r="H58" s="7"/>
      <c r="I58" s="7"/>
      <c r="J58" s="7"/>
      <c r="K58" s="7"/>
      <c r="L58" s="7"/>
      <c r="M58" s="7"/>
      <c r="N58" s="7"/>
    </row>
    <row r="59" spans="1:26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26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26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26" x14ac:dyDescent="0.3">
      <c r="A62" s="116"/>
      <c r="B62" s="116"/>
      <c r="C62" s="116"/>
      <c r="D62" s="116"/>
      <c r="E62" s="116"/>
      <c r="F62" s="116"/>
      <c r="G62" s="7"/>
      <c r="H62" s="7"/>
      <c r="I62" s="7"/>
      <c r="J62" s="7"/>
      <c r="K62" s="7"/>
      <c r="L62" s="7"/>
      <c r="M62" s="7"/>
      <c r="N62" s="7"/>
    </row>
    <row r="63" spans="1:26" x14ac:dyDescent="0.3">
      <c r="A63" s="116"/>
      <c r="B63" s="116"/>
      <c r="C63" s="7"/>
      <c r="D63" s="7"/>
      <c r="E63" s="116"/>
      <c r="F63" s="116"/>
      <c r="G63" s="7"/>
      <c r="H63" s="7"/>
      <c r="I63" s="7"/>
      <c r="J63" s="7"/>
      <c r="K63" s="7"/>
      <c r="L63" s="7"/>
      <c r="M63" s="7"/>
      <c r="N63" s="7"/>
    </row>
    <row r="64" spans="1:26" x14ac:dyDescent="0.3">
      <c r="A64" s="116"/>
      <c r="B64" s="7"/>
      <c r="C64" s="7"/>
      <c r="D64" s="7"/>
      <c r="E64" s="116"/>
      <c r="F64" s="116"/>
      <c r="G64" s="7"/>
      <c r="H64" s="7"/>
      <c r="I64" s="7"/>
      <c r="J64" s="7"/>
      <c r="K64" s="7"/>
      <c r="L64" s="7"/>
      <c r="M64" s="7"/>
      <c r="N64" s="7"/>
    </row>
    <row r="65" spans="1:14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x14ac:dyDescent="0.3">
      <c r="A66" s="116"/>
      <c r="B66" s="11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</sheetData>
  <mergeCells count="33">
    <mergeCell ref="A66:B66"/>
    <mergeCell ref="A57:A58"/>
    <mergeCell ref="E57:F57"/>
    <mergeCell ref="E58:F58"/>
    <mergeCell ref="A62:A64"/>
    <mergeCell ref="B62:B63"/>
    <mergeCell ref="C62:D62"/>
    <mergeCell ref="E62:F63"/>
    <mergeCell ref="E64:F64"/>
    <mergeCell ref="A55:N55"/>
    <mergeCell ref="O44:Q44"/>
    <mergeCell ref="O46:R46"/>
    <mergeCell ref="O47:R47"/>
    <mergeCell ref="O48:R48"/>
    <mergeCell ref="O49:R49"/>
    <mergeCell ref="O50:R50"/>
    <mergeCell ref="O51:R51"/>
    <mergeCell ref="O52:R52"/>
    <mergeCell ref="O53:R53"/>
    <mergeCell ref="O54:R54"/>
    <mergeCell ref="U40:W40"/>
    <mergeCell ref="U41:W41"/>
    <mergeCell ref="O42:Q43"/>
    <mergeCell ref="R42:R43"/>
    <mergeCell ref="U42:W42"/>
    <mergeCell ref="U43:W43"/>
    <mergeCell ref="O40:Q41"/>
    <mergeCell ref="R40:R41"/>
    <mergeCell ref="A1:H2"/>
    <mergeCell ref="O3:R3"/>
    <mergeCell ref="O36:Q36"/>
    <mergeCell ref="O38:Q38"/>
    <mergeCell ref="O39:Q39"/>
  </mergeCells>
  <phoneticPr fontId="33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8"/>
  <sheetViews>
    <sheetView topLeftCell="A16" zoomScale="85" zoomScaleNormal="85" workbookViewId="0">
      <selection activeCell="P17" sqref="P17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08" t="s">
        <v>31</v>
      </c>
      <c r="B1" s="108"/>
      <c r="C1" s="108"/>
      <c r="D1" s="108"/>
      <c r="E1" s="108"/>
      <c r="F1" s="108"/>
      <c r="G1" s="108"/>
      <c r="H1" s="108"/>
      <c r="I1" s="39" t="s">
        <v>25</v>
      </c>
      <c r="J1" s="81" t="s">
        <v>101</v>
      </c>
      <c r="K1" s="38" t="s">
        <v>4</v>
      </c>
      <c r="L1" s="38" t="s">
        <v>2</v>
      </c>
      <c r="M1" s="38" t="s">
        <v>12</v>
      </c>
      <c r="N1" s="43" t="s">
        <v>27</v>
      </c>
      <c r="O1" s="43" t="s">
        <v>29</v>
      </c>
      <c r="P1" s="44" t="s">
        <v>30</v>
      </c>
      <c r="Q1" s="72" t="s">
        <v>34</v>
      </c>
      <c r="R1" s="43" t="s">
        <v>33</v>
      </c>
    </row>
    <row r="2" spans="1:25" ht="21.75" customHeight="1" thickTop="1" thickBot="1" x14ac:dyDescent="0.35">
      <c r="A2" s="109"/>
      <c r="B2" s="109"/>
      <c r="C2" s="109"/>
      <c r="D2" s="109"/>
      <c r="E2" s="109"/>
      <c r="F2" s="109"/>
      <c r="G2" s="109"/>
      <c r="H2" s="109"/>
      <c r="I2" s="39" t="s">
        <v>26</v>
      </c>
      <c r="J2" s="81" t="s">
        <v>103</v>
      </c>
      <c r="K2" s="45">
        <f>COUNTA(B4:B45)</f>
        <v>31</v>
      </c>
      <c r="L2" s="45">
        <f>COUNTIFS(C4:C45,"남")</f>
        <v>9</v>
      </c>
      <c r="M2" s="45">
        <f>COUNTIFS(C4:C45,"여")</f>
        <v>22</v>
      </c>
      <c r="N2" s="46">
        <f>AVERAGEIF(J4:J44,"&gt;0",J4:J44)</f>
        <v>40000</v>
      </c>
      <c r="O2" s="47">
        <f>SUM(M4:M45)</f>
        <v>106</v>
      </c>
      <c r="P2" s="48">
        <f>SUM(F4:F45)</f>
        <v>230</v>
      </c>
      <c r="Q2" s="73">
        <f>SUM(Q5:Q27)</f>
        <v>8800000</v>
      </c>
      <c r="R2" s="73">
        <f>SUM(R5:R27)</f>
        <v>7999999.9999999991</v>
      </c>
    </row>
    <row r="3" spans="1:25" ht="30" thickTop="1" thickBot="1" x14ac:dyDescent="0.35">
      <c r="A3" s="38" t="s">
        <v>0</v>
      </c>
      <c r="B3" s="39" t="s">
        <v>3</v>
      </c>
      <c r="C3" s="38" t="s">
        <v>1</v>
      </c>
      <c r="D3" s="38" t="s">
        <v>20</v>
      </c>
      <c r="E3" s="39" t="s">
        <v>37</v>
      </c>
      <c r="F3" s="39" t="s">
        <v>5</v>
      </c>
      <c r="G3" s="39" t="s">
        <v>32</v>
      </c>
      <c r="H3" s="39" t="s">
        <v>15</v>
      </c>
      <c r="I3" s="40" t="s">
        <v>21</v>
      </c>
      <c r="J3" s="40" t="s">
        <v>11</v>
      </c>
      <c r="K3" s="41" t="s">
        <v>13</v>
      </c>
      <c r="L3" s="40" t="s">
        <v>28</v>
      </c>
      <c r="M3" s="40" t="s">
        <v>19</v>
      </c>
      <c r="N3" s="40" t="s">
        <v>14</v>
      </c>
      <c r="O3" s="110" t="s">
        <v>6</v>
      </c>
      <c r="P3" s="110"/>
      <c r="Q3" s="110"/>
      <c r="R3" s="110"/>
    </row>
    <row r="4" spans="1:25" ht="18.75" customHeight="1" thickTop="1" thickBot="1" x14ac:dyDescent="0.35">
      <c r="A4" s="32">
        <v>1</v>
      </c>
      <c r="B4" s="77" t="s">
        <v>53</v>
      </c>
      <c r="C4" s="33" t="s">
        <v>41</v>
      </c>
      <c r="D4" s="34">
        <v>50</v>
      </c>
      <c r="E4" s="34">
        <v>23</v>
      </c>
      <c r="F4" s="35">
        <v>35</v>
      </c>
      <c r="G4" s="32"/>
      <c r="H4" s="64">
        <v>2200000</v>
      </c>
      <c r="I4" s="62">
        <f>IF(G4="현금",H4,H4/1.1)</f>
        <v>1999999.9999999998</v>
      </c>
      <c r="J4" s="36">
        <f t="shared" ref="J4:J45" si="0">I4/D4</f>
        <v>39999.999999999993</v>
      </c>
      <c r="K4" s="74">
        <v>0.5</v>
      </c>
      <c r="L4" s="68">
        <f t="shared" ref="L4:L11" si="1">PRODUCT(K4,J4)</f>
        <v>19999.999999999996</v>
      </c>
      <c r="M4" s="37">
        <v>8</v>
      </c>
      <c r="N4" s="70">
        <f t="shared" ref="N4:N33" si="2">PRODUCT(M4,L4)</f>
        <v>159999.99999999997</v>
      </c>
      <c r="O4" s="49" t="s">
        <v>7</v>
      </c>
      <c r="P4" s="49" t="s">
        <v>10</v>
      </c>
      <c r="Q4" s="49" t="s">
        <v>8</v>
      </c>
      <c r="R4" s="50" t="s">
        <v>9</v>
      </c>
      <c r="Y4" s="4"/>
    </row>
    <row r="5" spans="1:25" ht="18.75" customHeight="1" thickTop="1" thickBot="1" x14ac:dyDescent="0.35">
      <c r="A5" s="9">
        <v>2</v>
      </c>
      <c r="B5" s="78" t="s">
        <v>54</v>
      </c>
      <c r="C5" s="6" t="s">
        <v>41</v>
      </c>
      <c r="D5" s="5">
        <v>30</v>
      </c>
      <c r="E5" s="5">
        <v>14</v>
      </c>
      <c r="F5" s="30">
        <v>21</v>
      </c>
      <c r="G5" s="9"/>
      <c r="H5" s="65">
        <v>1320000</v>
      </c>
      <c r="I5" s="62">
        <f t="shared" ref="I5:I45" si="3">IF(G5="현금",H5,H5/1.1)</f>
        <v>1200000</v>
      </c>
      <c r="J5" s="31">
        <f t="shared" si="0"/>
        <v>40000</v>
      </c>
      <c r="K5" s="74">
        <v>0.5</v>
      </c>
      <c r="L5" s="69">
        <f t="shared" si="1"/>
        <v>20000</v>
      </c>
      <c r="M5" s="20">
        <v>5</v>
      </c>
      <c r="N5" s="71">
        <f t="shared" si="2"/>
        <v>100000</v>
      </c>
      <c r="O5" s="119" t="s">
        <v>104</v>
      </c>
      <c r="P5" s="120" t="s">
        <v>36</v>
      </c>
      <c r="Q5" s="51">
        <v>880000</v>
      </c>
      <c r="R5" s="62">
        <f>IF(P5="현금",Q5,Q5/1.1)</f>
        <v>799999.99999999988</v>
      </c>
      <c r="Y5" s="4"/>
    </row>
    <row r="6" spans="1:25" ht="18.75" customHeight="1" thickTop="1" thickBot="1" x14ac:dyDescent="0.35">
      <c r="A6" s="9">
        <v>3</v>
      </c>
      <c r="B6" s="78" t="s">
        <v>55</v>
      </c>
      <c r="C6" s="6" t="s">
        <v>41</v>
      </c>
      <c r="D6" s="5">
        <v>33</v>
      </c>
      <c r="E6" s="5">
        <v>11</v>
      </c>
      <c r="F6" s="30">
        <f t="shared" ref="F6:F45" si="4">D6-E6</f>
        <v>22</v>
      </c>
      <c r="G6" s="9"/>
      <c r="H6" s="65">
        <v>1452000</v>
      </c>
      <c r="I6" s="62">
        <f t="shared" si="3"/>
        <v>1320000</v>
      </c>
      <c r="J6" s="31">
        <f t="shared" si="0"/>
        <v>40000</v>
      </c>
      <c r="K6" s="74">
        <v>0.5</v>
      </c>
      <c r="L6" s="69">
        <f t="shared" si="1"/>
        <v>20000</v>
      </c>
      <c r="M6" s="20">
        <v>5</v>
      </c>
      <c r="N6" s="71">
        <f t="shared" si="2"/>
        <v>100000</v>
      </c>
      <c r="O6" s="119" t="s">
        <v>55</v>
      </c>
      <c r="P6" s="120" t="s">
        <v>36</v>
      </c>
      <c r="Q6" s="51">
        <v>880000</v>
      </c>
      <c r="R6" s="62">
        <f t="shared" ref="R6:R27" si="5">IF(P6="현금",Q6,Q6/1.1)</f>
        <v>799999.99999999988</v>
      </c>
      <c r="Y6" s="4"/>
    </row>
    <row r="7" spans="1:25" ht="18.75" customHeight="1" thickTop="1" thickBot="1" x14ac:dyDescent="0.35">
      <c r="A7" s="9">
        <v>4</v>
      </c>
      <c r="B7" s="78" t="s">
        <v>56</v>
      </c>
      <c r="C7" s="6" t="s">
        <v>12</v>
      </c>
      <c r="D7" s="5">
        <v>20</v>
      </c>
      <c r="E7" s="5">
        <v>12</v>
      </c>
      <c r="F7" s="30">
        <f t="shared" si="4"/>
        <v>8</v>
      </c>
      <c r="G7" s="9"/>
      <c r="H7" s="65">
        <v>880000</v>
      </c>
      <c r="I7" s="62">
        <f t="shared" si="3"/>
        <v>799999.99999999988</v>
      </c>
      <c r="J7" s="31">
        <f t="shared" si="0"/>
        <v>39999.999999999993</v>
      </c>
      <c r="K7" s="74">
        <v>0.5</v>
      </c>
      <c r="L7" s="69">
        <f t="shared" si="1"/>
        <v>19999.999999999996</v>
      </c>
      <c r="M7" s="20">
        <v>7</v>
      </c>
      <c r="N7" s="71">
        <f t="shared" si="2"/>
        <v>139999.99999999997</v>
      </c>
      <c r="O7" s="119" t="s">
        <v>87</v>
      </c>
      <c r="P7" s="120" t="s">
        <v>36</v>
      </c>
      <c r="Q7" s="51">
        <v>880000</v>
      </c>
      <c r="R7" s="62">
        <f t="shared" si="5"/>
        <v>799999.99999999988</v>
      </c>
      <c r="Y7" s="4"/>
    </row>
    <row r="8" spans="1:25" ht="18.75" customHeight="1" thickTop="1" thickBot="1" x14ac:dyDescent="0.35">
      <c r="A8" s="9">
        <v>5</v>
      </c>
      <c r="B8" s="78" t="s">
        <v>67</v>
      </c>
      <c r="C8" s="6" t="s">
        <v>12</v>
      </c>
      <c r="D8" s="5">
        <v>30</v>
      </c>
      <c r="E8" s="5">
        <v>18</v>
      </c>
      <c r="F8" s="30">
        <f t="shared" si="4"/>
        <v>12</v>
      </c>
      <c r="G8" s="9"/>
      <c r="H8" s="65">
        <v>1320000</v>
      </c>
      <c r="I8" s="62">
        <f t="shared" si="3"/>
        <v>1200000</v>
      </c>
      <c r="J8" s="31">
        <f t="shared" si="0"/>
        <v>40000</v>
      </c>
      <c r="K8" s="74">
        <v>0.5</v>
      </c>
      <c r="L8" s="69">
        <f t="shared" si="1"/>
        <v>20000</v>
      </c>
      <c r="M8" s="20">
        <v>5</v>
      </c>
      <c r="N8" s="71">
        <f t="shared" si="2"/>
        <v>100000</v>
      </c>
      <c r="O8" s="87" t="s">
        <v>67</v>
      </c>
      <c r="P8" s="120" t="s">
        <v>36</v>
      </c>
      <c r="Q8" s="51">
        <v>880000</v>
      </c>
      <c r="R8" s="62">
        <f t="shared" si="5"/>
        <v>799999.99999999988</v>
      </c>
      <c r="Y8" s="4"/>
    </row>
    <row r="9" spans="1:25" ht="18.75" customHeight="1" thickTop="1" thickBot="1" x14ac:dyDescent="0.35">
      <c r="A9" s="9">
        <v>6</v>
      </c>
      <c r="B9" s="78" t="s">
        <v>58</v>
      </c>
      <c r="C9" s="6" t="s">
        <v>12</v>
      </c>
      <c r="D9" s="5">
        <v>10</v>
      </c>
      <c r="E9" s="5">
        <v>6</v>
      </c>
      <c r="F9" s="30">
        <f t="shared" si="4"/>
        <v>4</v>
      </c>
      <c r="G9" s="9"/>
      <c r="H9" s="65">
        <v>440000</v>
      </c>
      <c r="I9" s="62">
        <f t="shared" si="3"/>
        <v>399999.99999999994</v>
      </c>
      <c r="J9" s="31">
        <f t="shared" si="0"/>
        <v>39999.999999999993</v>
      </c>
      <c r="K9" s="74">
        <v>0.5</v>
      </c>
      <c r="L9" s="69">
        <f t="shared" si="1"/>
        <v>19999.999999999996</v>
      </c>
      <c r="M9" s="20">
        <v>2</v>
      </c>
      <c r="N9" s="71">
        <f t="shared" si="2"/>
        <v>39999.999999999993</v>
      </c>
      <c r="O9" s="119" t="s">
        <v>164</v>
      </c>
      <c r="P9" s="120" t="s">
        <v>36</v>
      </c>
      <c r="Q9" s="51">
        <v>440000</v>
      </c>
      <c r="R9" s="62">
        <f t="shared" si="5"/>
        <v>399999.99999999994</v>
      </c>
      <c r="Y9" s="4"/>
    </row>
    <row r="10" spans="1:25" ht="18.75" customHeight="1" thickTop="1" thickBot="1" x14ac:dyDescent="0.35">
      <c r="A10" s="9">
        <v>7</v>
      </c>
      <c r="B10" s="78" t="s">
        <v>57</v>
      </c>
      <c r="C10" s="6" t="s">
        <v>41</v>
      </c>
      <c r="D10" s="5">
        <v>10</v>
      </c>
      <c r="E10" s="5">
        <v>7</v>
      </c>
      <c r="F10" s="30">
        <f t="shared" si="4"/>
        <v>3</v>
      </c>
      <c r="G10" s="9"/>
      <c r="H10" s="65">
        <v>440000</v>
      </c>
      <c r="I10" s="62">
        <f t="shared" si="3"/>
        <v>399999.99999999994</v>
      </c>
      <c r="J10" s="31">
        <f t="shared" si="0"/>
        <v>39999.999999999993</v>
      </c>
      <c r="K10" s="74">
        <v>0.5</v>
      </c>
      <c r="L10" s="69">
        <f t="shared" si="1"/>
        <v>19999.999999999996</v>
      </c>
      <c r="M10" s="20">
        <v>1</v>
      </c>
      <c r="N10" s="71">
        <f t="shared" si="2"/>
        <v>19999.999999999996</v>
      </c>
      <c r="O10" s="55" t="s">
        <v>74</v>
      </c>
      <c r="P10" s="56" t="s">
        <v>36</v>
      </c>
      <c r="Q10" s="51">
        <v>880000</v>
      </c>
      <c r="R10" s="62">
        <f t="shared" si="5"/>
        <v>799999.99999999988</v>
      </c>
      <c r="Y10" s="4"/>
    </row>
    <row r="11" spans="1:25" ht="18.75" customHeight="1" thickTop="1" thickBot="1" x14ac:dyDescent="0.35">
      <c r="A11" s="9">
        <v>8</v>
      </c>
      <c r="B11" s="78" t="s">
        <v>60</v>
      </c>
      <c r="C11" s="6" t="s">
        <v>12</v>
      </c>
      <c r="D11" s="5">
        <v>10</v>
      </c>
      <c r="E11" s="5">
        <v>5</v>
      </c>
      <c r="F11" s="30">
        <f t="shared" si="4"/>
        <v>5</v>
      </c>
      <c r="G11" s="9"/>
      <c r="H11" s="65">
        <v>440000</v>
      </c>
      <c r="I11" s="62">
        <f t="shared" si="3"/>
        <v>399999.99999999994</v>
      </c>
      <c r="J11" s="31">
        <f t="shared" si="0"/>
        <v>39999.999999999993</v>
      </c>
      <c r="K11" s="74">
        <v>0.5</v>
      </c>
      <c r="L11" s="69">
        <f t="shared" si="1"/>
        <v>19999.999999999996</v>
      </c>
      <c r="M11" s="20">
        <v>3</v>
      </c>
      <c r="N11" s="71">
        <f t="shared" si="2"/>
        <v>59999.999999999985</v>
      </c>
      <c r="O11" s="55" t="s">
        <v>147</v>
      </c>
      <c r="P11" s="56" t="s">
        <v>36</v>
      </c>
      <c r="Q11" s="57">
        <v>440000</v>
      </c>
      <c r="R11" s="62">
        <f t="shared" si="5"/>
        <v>399999.99999999994</v>
      </c>
      <c r="Y11" s="4"/>
    </row>
    <row r="12" spans="1:25" ht="18.75" customHeight="1" thickTop="1" thickBot="1" x14ac:dyDescent="0.35">
      <c r="A12" s="9">
        <v>9</v>
      </c>
      <c r="B12" s="78" t="s">
        <v>61</v>
      </c>
      <c r="C12" s="6" t="s">
        <v>12</v>
      </c>
      <c r="D12" s="5">
        <v>10</v>
      </c>
      <c r="E12" s="5">
        <v>5</v>
      </c>
      <c r="F12" s="30">
        <f t="shared" si="4"/>
        <v>5</v>
      </c>
      <c r="G12" s="9"/>
      <c r="H12" s="65">
        <v>440000</v>
      </c>
      <c r="I12" s="62">
        <f t="shared" si="3"/>
        <v>399999.99999999994</v>
      </c>
      <c r="J12" s="31">
        <f t="shared" si="0"/>
        <v>39999.999999999993</v>
      </c>
      <c r="K12" s="74">
        <v>0.5</v>
      </c>
      <c r="L12" s="69">
        <f t="shared" ref="L12:L33" si="6">PRODUCT(K12,J12)</f>
        <v>19999.999999999996</v>
      </c>
      <c r="M12" s="20">
        <v>1</v>
      </c>
      <c r="N12" s="71">
        <f t="shared" si="2"/>
        <v>19999.999999999996</v>
      </c>
      <c r="O12" s="55" t="s">
        <v>145</v>
      </c>
      <c r="P12" s="55" t="s">
        <v>36</v>
      </c>
      <c r="Q12" s="56">
        <v>440000</v>
      </c>
      <c r="R12" s="62">
        <f t="shared" si="5"/>
        <v>399999.99999999994</v>
      </c>
      <c r="Y12" s="4"/>
    </row>
    <row r="13" spans="1:25" ht="18.75" customHeight="1" thickTop="1" thickBot="1" x14ac:dyDescent="0.35">
      <c r="A13" s="9">
        <v>10</v>
      </c>
      <c r="B13" s="78" t="s">
        <v>62</v>
      </c>
      <c r="C13" s="6" t="s">
        <v>12</v>
      </c>
      <c r="D13" s="5">
        <v>10</v>
      </c>
      <c r="E13" s="5">
        <v>10</v>
      </c>
      <c r="F13" s="30">
        <f t="shared" si="4"/>
        <v>0</v>
      </c>
      <c r="G13" s="9"/>
      <c r="H13" s="65">
        <v>440000</v>
      </c>
      <c r="I13" s="62">
        <f t="shared" si="3"/>
        <v>399999.99999999994</v>
      </c>
      <c r="J13" s="31">
        <f t="shared" si="0"/>
        <v>39999.999999999993</v>
      </c>
      <c r="K13" s="74">
        <v>0.5</v>
      </c>
      <c r="L13" s="69">
        <f t="shared" si="6"/>
        <v>19999.999999999996</v>
      </c>
      <c r="M13" s="20">
        <v>3</v>
      </c>
      <c r="N13" s="71">
        <f t="shared" si="2"/>
        <v>59999.999999999985</v>
      </c>
      <c r="O13" s="55" t="s">
        <v>55</v>
      </c>
      <c r="P13" s="55" t="s">
        <v>36</v>
      </c>
      <c r="Q13" s="56">
        <v>880000</v>
      </c>
      <c r="R13" s="62">
        <f t="shared" si="5"/>
        <v>799999.99999999988</v>
      </c>
      <c r="S13" s="25"/>
      <c r="U13" s="26"/>
      <c r="V13" s="26"/>
      <c r="Y13" s="4"/>
    </row>
    <row r="14" spans="1:25" ht="18.75" customHeight="1" thickTop="1" thickBot="1" x14ac:dyDescent="0.35">
      <c r="A14" s="9">
        <v>11</v>
      </c>
      <c r="B14" s="78" t="s">
        <v>63</v>
      </c>
      <c r="C14" s="6" t="s">
        <v>41</v>
      </c>
      <c r="D14" s="5">
        <v>10</v>
      </c>
      <c r="E14" s="5">
        <v>6</v>
      </c>
      <c r="F14" s="30">
        <f t="shared" si="4"/>
        <v>4</v>
      </c>
      <c r="G14" s="9"/>
      <c r="H14" s="65">
        <v>440000</v>
      </c>
      <c r="I14" s="62">
        <f t="shared" si="3"/>
        <v>399999.99999999994</v>
      </c>
      <c r="J14" s="31">
        <f t="shared" si="0"/>
        <v>39999.999999999993</v>
      </c>
      <c r="K14" s="74">
        <v>0.5</v>
      </c>
      <c r="L14" s="69">
        <f t="shared" si="6"/>
        <v>19999.999999999996</v>
      </c>
      <c r="M14" s="20">
        <v>6</v>
      </c>
      <c r="N14" s="71">
        <f t="shared" si="2"/>
        <v>119999.99999999997</v>
      </c>
      <c r="O14" s="55" t="s">
        <v>143</v>
      </c>
      <c r="P14" s="55" t="s">
        <v>36</v>
      </c>
      <c r="Q14" s="56">
        <v>220000</v>
      </c>
      <c r="R14" s="62">
        <f t="shared" si="5"/>
        <v>199999.99999999997</v>
      </c>
      <c r="S14" s="25"/>
      <c r="U14" s="26"/>
      <c r="Y14" s="4"/>
    </row>
    <row r="15" spans="1:25" ht="18.75" customHeight="1" thickTop="1" thickBot="1" x14ac:dyDescent="0.35">
      <c r="A15" s="9">
        <v>12</v>
      </c>
      <c r="B15" s="78" t="s">
        <v>64</v>
      </c>
      <c r="C15" s="6" t="s">
        <v>41</v>
      </c>
      <c r="D15" s="5">
        <v>10</v>
      </c>
      <c r="E15" s="5">
        <v>10</v>
      </c>
      <c r="F15" s="30">
        <f t="shared" si="4"/>
        <v>0</v>
      </c>
      <c r="G15" s="9"/>
      <c r="H15" s="65">
        <v>440000</v>
      </c>
      <c r="I15" s="62">
        <f t="shared" si="3"/>
        <v>399999.99999999994</v>
      </c>
      <c r="J15" s="31">
        <f t="shared" si="0"/>
        <v>39999.999999999993</v>
      </c>
      <c r="K15" s="74">
        <v>0.5</v>
      </c>
      <c r="L15" s="69">
        <f t="shared" si="6"/>
        <v>19999.999999999996</v>
      </c>
      <c r="M15" s="20">
        <v>2</v>
      </c>
      <c r="N15" s="71">
        <f t="shared" si="2"/>
        <v>39999.999999999993</v>
      </c>
      <c r="O15" s="55" t="s">
        <v>148</v>
      </c>
      <c r="P15" s="55" t="s">
        <v>36</v>
      </c>
      <c r="Q15" s="56">
        <v>440000</v>
      </c>
      <c r="R15" s="62">
        <f t="shared" si="5"/>
        <v>399999.99999999994</v>
      </c>
      <c r="S15" s="25"/>
      <c r="U15" s="26"/>
      <c r="V15" s="26"/>
      <c r="Y15" s="4"/>
    </row>
    <row r="16" spans="1:25" ht="18.75" customHeight="1" thickTop="1" thickBot="1" x14ac:dyDescent="0.35">
      <c r="A16" s="9">
        <v>13</v>
      </c>
      <c r="B16" s="79" t="s">
        <v>65</v>
      </c>
      <c r="C16" s="6" t="s">
        <v>12</v>
      </c>
      <c r="D16" s="5">
        <v>10</v>
      </c>
      <c r="E16" s="5">
        <v>9</v>
      </c>
      <c r="F16" s="30">
        <f t="shared" si="4"/>
        <v>1</v>
      </c>
      <c r="G16" s="9"/>
      <c r="H16" s="65">
        <v>440000</v>
      </c>
      <c r="I16" s="62">
        <f t="shared" si="3"/>
        <v>399999.99999999994</v>
      </c>
      <c r="J16" s="31">
        <f t="shared" si="0"/>
        <v>39999.999999999993</v>
      </c>
      <c r="K16" s="74">
        <v>0.5</v>
      </c>
      <c r="L16" s="69">
        <f t="shared" si="6"/>
        <v>19999.999999999996</v>
      </c>
      <c r="M16" s="20">
        <v>2</v>
      </c>
      <c r="N16" s="71">
        <f t="shared" si="2"/>
        <v>39999.999999999993</v>
      </c>
      <c r="O16" s="55" t="s">
        <v>87</v>
      </c>
      <c r="P16" s="55" t="s">
        <v>36</v>
      </c>
      <c r="Q16" s="56">
        <v>440000</v>
      </c>
      <c r="R16" s="62">
        <f t="shared" si="5"/>
        <v>399999.99999999994</v>
      </c>
      <c r="S16" s="25"/>
      <c r="U16" s="26"/>
      <c r="Y16" s="4"/>
    </row>
    <row r="17" spans="1:25" ht="18.75" customHeight="1" thickTop="1" thickBot="1" x14ac:dyDescent="0.35">
      <c r="A17" s="9">
        <v>14</v>
      </c>
      <c r="B17" s="79" t="s">
        <v>66</v>
      </c>
      <c r="C17" s="6" t="s">
        <v>12</v>
      </c>
      <c r="D17" s="5">
        <v>10</v>
      </c>
      <c r="E17" s="5">
        <v>8</v>
      </c>
      <c r="F17" s="30">
        <f t="shared" si="4"/>
        <v>2</v>
      </c>
      <c r="G17" s="9"/>
      <c r="H17" s="65">
        <v>440000</v>
      </c>
      <c r="I17" s="62">
        <f t="shared" si="3"/>
        <v>399999.99999999994</v>
      </c>
      <c r="J17" s="31">
        <f t="shared" si="0"/>
        <v>39999.999999999993</v>
      </c>
      <c r="K17" s="74">
        <v>0.5</v>
      </c>
      <c r="L17" s="69">
        <f t="shared" si="6"/>
        <v>19999.999999999996</v>
      </c>
      <c r="M17" s="20">
        <v>2</v>
      </c>
      <c r="N17" s="71">
        <f t="shared" si="2"/>
        <v>39999.999999999993</v>
      </c>
      <c r="O17" s="55" t="s">
        <v>149</v>
      </c>
      <c r="P17" s="55" t="s">
        <v>36</v>
      </c>
      <c r="Q17" s="56">
        <v>440000</v>
      </c>
      <c r="R17" s="62">
        <f t="shared" si="5"/>
        <v>399999.99999999994</v>
      </c>
      <c r="S17" s="25"/>
      <c r="U17" s="26"/>
      <c r="V17" s="26"/>
      <c r="Y17" s="4"/>
    </row>
    <row r="18" spans="1:25" ht="18.75" customHeight="1" thickTop="1" thickBot="1" x14ac:dyDescent="0.35">
      <c r="A18" s="9">
        <v>15</v>
      </c>
      <c r="B18" s="78" t="s">
        <v>74</v>
      </c>
      <c r="C18" s="6" t="s">
        <v>12</v>
      </c>
      <c r="D18" s="5">
        <v>20</v>
      </c>
      <c r="E18" s="5">
        <v>2</v>
      </c>
      <c r="F18" s="30">
        <f t="shared" si="4"/>
        <v>18</v>
      </c>
      <c r="G18" s="9"/>
      <c r="H18" s="65">
        <v>880000</v>
      </c>
      <c r="I18" s="62">
        <f t="shared" si="3"/>
        <v>799999.99999999988</v>
      </c>
      <c r="J18" s="31">
        <f t="shared" si="0"/>
        <v>39999.999999999993</v>
      </c>
      <c r="K18" s="74">
        <v>0.5</v>
      </c>
      <c r="L18" s="69">
        <f t="shared" si="6"/>
        <v>19999.999999999996</v>
      </c>
      <c r="M18" s="20">
        <v>2</v>
      </c>
      <c r="N18" s="71">
        <f t="shared" si="2"/>
        <v>39999.999999999993</v>
      </c>
      <c r="O18" s="55" t="s">
        <v>146</v>
      </c>
      <c r="P18" s="55" t="s">
        <v>36</v>
      </c>
      <c r="Q18" s="56">
        <v>440000</v>
      </c>
      <c r="R18" s="62">
        <f t="shared" si="5"/>
        <v>399999.99999999994</v>
      </c>
      <c r="S18" s="25"/>
      <c r="U18" s="26"/>
      <c r="V18" s="26"/>
      <c r="Y18" s="4"/>
    </row>
    <row r="19" spans="1:25" ht="18.75" customHeight="1" thickTop="1" thickBot="1" x14ac:dyDescent="0.35">
      <c r="A19" s="9">
        <v>16</v>
      </c>
      <c r="B19" s="78" t="s">
        <v>68</v>
      </c>
      <c r="C19" s="6" t="s">
        <v>12</v>
      </c>
      <c r="D19" s="5">
        <v>10</v>
      </c>
      <c r="E19" s="5">
        <v>10</v>
      </c>
      <c r="F19" s="30">
        <f t="shared" si="4"/>
        <v>0</v>
      </c>
      <c r="G19" s="9"/>
      <c r="H19" s="65">
        <v>440000</v>
      </c>
      <c r="I19" s="62">
        <f t="shared" si="3"/>
        <v>399999.99999999994</v>
      </c>
      <c r="J19" s="31">
        <f t="shared" si="0"/>
        <v>39999.999999999993</v>
      </c>
      <c r="K19" s="74">
        <v>0.5</v>
      </c>
      <c r="L19" s="69">
        <f t="shared" si="6"/>
        <v>19999.999999999996</v>
      </c>
      <c r="M19" s="20">
        <v>2</v>
      </c>
      <c r="N19" s="71">
        <f t="shared" si="2"/>
        <v>39999.999999999993</v>
      </c>
      <c r="O19" s="55" t="s">
        <v>172</v>
      </c>
      <c r="P19" s="56" t="s">
        <v>36</v>
      </c>
      <c r="Q19" s="56">
        <v>220000</v>
      </c>
      <c r="R19" s="62">
        <f t="shared" si="5"/>
        <v>199999.99999999997</v>
      </c>
      <c r="S19" s="25"/>
      <c r="U19" s="26"/>
      <c r="Y19" s="4"/>
    </row>
    <row r="20" spans="1:25" ht="18.75" customHeight="1" thickTop="1" thickBot="1" x14ac:dyDescent="0.35">
      <c r="A20" s="9">
        <v>17</v>
      </c>
      <c r="B20" s="78" t="s">
        <v>69</v>
      </c>
      <c r="C20" s="6" t="s">
        <v>41</v>
      </c>
      <c r="D20" s="5">
        <v>20</v>
      </c>
      <c r="E20" s="5">
        <v>12</v>
      </c>
      <c r="F20" s="30">
        <f t="shared" si="4"/>
        <v>8</v>
      </c>
      <c r="G20" s="9"/>
      <c r="H20" s="65">
        <v>880000</v>
      </c>
      <c r="I20" s="62">
        <f t="shared" si="3"/>
        <v>799999.99999999988</v>
      </c>
      <c r="J20" s="31">
        <f t="shared" si="0"/>
        <v>39999.999999999993</v>
      </c>
      <c r="K20" s="74">
        <v>0.5</v>
      </c>
      <c r="L20" s="69">
        <f t="shared" si="6"/>
        <v>19999.999999999996</v>
      </c>
      <c r="M20" s="20">
        <v>1</v>
      </c>
      <c r="N20" s="71">
        <f t="shared" si="2"/>
        <v>19999.999999999996</v>
      </c>
      <c r="O20" s="55"/>
      <c r="P20" s="56"/>
      <c r="Q20" s="56"/>
      <c r="R20" s="62">
        <f t="shared" si="5"/>
        <v>0</v>
      </c>
      <c r="S20" s="25"/>
      <c r="U20" s="26"/>
      <c r="V20" s="26"/>
      <c r="Y20" s="4"/>
    </row>
    <row r="21" spans="1:25" ht="18.75" customHeight="1" thickTop="1" thickBot="1" x14ac:dyDescent="0.35">
      <c r="A21" s="9">
        <v>18</v>
      </c>
      <c r="B21" s="78" t="s">
        <v>70</v>
      </c>
      <c r="C21" s="6" t="s">
        <v>41</v>
      </c>
      <c r="D21" s="5">
        <v>10</v>
      </c>
      <c r="E21" s="5">
        <v>4</v>
      </c>
      <c r="F21" s="30">
        <f t="shared" si="4"/>
        <v>6</v>
      </c>
      <c r="G21" s="9"/>
      <c r="H21" s="65">
        <v>440000</v>
      </c>
      <c r="I21" s="62">
        <f t="shared" si="3"/>
        <v>399999.99999999994</v>
      </c>
      <c r="J21" s="31">
        <f t="shared" si="0"/>
        <v>39999.999999999993</v>
      </c>
      <c r="K21" s="74">
        <v>0.5</v>
      </c>
      <c r="L21" s="69">
        <f t="shared" si="6"/>
        <v>19999.999999999996</v>
      </c>
      <c r="M21" s="20">
        <v>1</v>
      </c>
      <c r="N21" s="71">
        <f t="shared" si="2"/>
        <v>19999.999999999996</v>
      </c>
      <c r="O21" s="55"/>
      <c r="P21" s="56"/>
      <c r="Q21" s="56"/>
      <c r="R21" s="62">
        <f t="shared" si="5"/>
        <v>0</v>
      </c>
      <c r="S21" s="25"/>
      <c r="U21" s="26"/>
      <c r="V21" s="26"/>
      <c r="Y21" s="4"/>
    </row>
    <row r="22" spans="1:25" ht="18.75" customHeight="1" thickTop="1" thickBot="1" x14ac:dyDescent="0.35">
      <c r="A22" s="9">
        <v>19</v>
      </c>
      <c r="B22" s="78" t="s">
        <v>71</v>
      </c>
      <c r="C22" s="6" t="s">
        <v>12</v>
      </c>
      <c r="D22" s="5">
        <v>10</v>
      </c>
      <c r="E22" s="5">
        <v>7</v>
      </c>
      <c r="F22" s="30">
        <f t="shared" si="4"/>
        <v>3</v>
      </c>
      <c r="G22" s="9"/>
      <c r="H22" s="65">
        <v>440000</v>
      </c>
      <c r="I22" s="62">
        <f t="shared" si="3"/>
        <v>399999.99999999994</v>
      </c>
      <c r="J22" s="31">
        <f t="shared" si="0"/>
        <v>39999.999999999993</v>
      </c>
      <c r="K22" s="74">
        <v>0.5</v>
      </c>
      <c r="L22" s="69">
        <f t="shared" si="6"/>
        <v>19999.999999999996</v>
      </c>
      <c r="M22" s="20">
        <v>6</v>
      </c>
      <c r="N22" s="71">
        <f t="shared" si="2"/>
        <v>119999.99999999997</v>
      </c>
      <c r="O22" s="55"/>
      <c r="P22" s="56"/>
      <c r="Q22" s="56"/>
      <c r="R22" s="62">
        <f t="shared" si="5"/>
        <v>0</v>
      </c>
      <c r="S22" s="25"/>
      <c r="T22" s="27"/>
      <c r="U22" s="26"/>
      <c r="V22" s="26"/>
      <c r="Y22" s="4"/>
    </row>
    <row r="23" spans="1:25" ht="18.75" customHeight="1" thickTop="1" thickBot="1" x14ac:dyDescent="0.35">
      <c r="A23" s="9">
        <v>20</v>
      </c>
      <c r="B23" s="78" t="s">
        <v>59</v>
      </c>
      <c r="C23" s="6" t="s">
        <v>12</v>
      </c>
      <c r="D23" s="5">
        <v>10</v>
      </c>
      <c r="E23" s="5">
        <v>7</v>
      </c>
      <c r="F23" s="30">
        <f t="shared" si="4"/>
        <v>3</v>
      </c>
      <c r="G23" s="9"/>
      <c r="H23" s="65">
        <v>440000</v>
      </c>
      <c r="I23" s="62">
        <f t="shared" si="3"/>
        <v>399999.99999999994</v>
      </c>
      <c r="J23" s="31">
        <f t="shared" si="0"/>
        <v>39999.999999999993</v>
      </c>
      <c r="K23" s="74">
        <v>0.5</v>
      </c>
      <c r="L23" s="69">
        <f t="shared" si="6"/>
        <v>19999.999999999996</v>
      </c>
      <c r="M23" s="20">
        <v>3</v>
      </c>
      <c r="N23" s="71">
        <f t="shared" si="2"/>
        <v>59999.999999999985</v>
      </c>
      <c r="O23" s="58"/>
      <c r="P23" s="59"/>
      <c r="Q23" s="42"/>
      <c r="R23" s="62">
        <f t="shared" si="5"/>
        <v>0</v>
      </c>
      <c r="S23" s="25"/>
      <c r="T23" s="28"/>
      <c r="U23" s="26"/>
    </row>
    <row r="24" spans="1:25" ht="18.75" customHeight="1" thickTop="1" thickBot="1" x14ac:dyDescent="0.35">
      <c r="A24" s="9">
        <v>21</v>
      </c>
      <c r="B24" s="78" t="s">
        <v>72</v>
      </c>
      <c r="C24" s="6" t="s">
        <v>12</v>
      </c>
      <c r="D24" s="5">
        <v>10</v>
      </c>
      <c r="E24" s="5">
        <v>5</v>
      </c>
      <c r="F24" s="30">
        <f t="shared" si="4"/>
        <v>5</v>
      </c>
      <c r="G24" s="9"/>
      <c r="H24" s="65">
        <v>440000</v>
      </c>
      <c r="I24" s="62">
        <f t="shared" si="3"/>
        <v>399999.99999999994</v>
      </c>
      <c r="J24" s="31">
        <f t="shared" si="0"/>
        <v>39999.999999999993</v>
      </c>
      <c r="K24" s="74">
        <v>0.5</v>
      </c>
      <c r="L24" s="69">
        <f t="shared" si="6"/>
        <v>19999.999999999996</v>
      </c>
      <c r="M24" s="20">
        <v>3</v>
      </c>
      <c r="N24" s="71">
        <f t="shared" si="2"/>
        <v>59999.999999999985</v>
      </c>
      <c r="O24" s="60"/>
      <c r="P24" s="60"/>
      <c r="Q24" s="42"/>
      <c r="R24" s="62">
        <f t="shared" si="5"/>
        <v>0</v>
      </c>
      <c r="S24" s="25"/>
      <c r="T24" s="29"/>
      <c r="U24" s="26"/>
    </row>
    <row r="25" spans="1:25" ht="18.75" customHeight="1" thickTop="1" thickBot="1" x14ac:dyDescent="0.35">
      <c r="A25" s="9">
        <v>22</v>
      </c>
      <c r="B25" s="78" t="s">
        <v>75</v>
      </c>
      <c r="C25" s="6" t="s">
        <v>41</v>
      </c>
      <c r="D25" s="5">
        <v>10</v>
      </c>
      <c r="E25" s="5">
        <v>3</v>
      </c>
      <c r="F25" s="30">
        <f t="shared" si="4"/>
        <v>7</v>
      </c>
      <c r="G25" s="9"/>
      <c r="H25" s="65">
        <v>440000</v>
      </c>
      <c r="I25" s="62">
        <f t="shared" si="3"/>
        <v>399999.99999999994</v>
      </c>
      <c r="J25" s="31">
        <f t="shared" si="0"/>
        <v>39999.999999999993</v>
      </c>
      <c r="K25" s="74">
        <v>0.5</v>
      </c>
      <c r="L25" s="69">
        <f t="shared" si="6"/>
        <v>19999.999999999996</v>
      </c>
      <c r="M25" s="20">
        <v>3</v>
      </c>
      <c r="N25" s="71">
        <f t="shared" si="2"/>
        <v>59999.999999999985</v>
      </c>
      <c r="O25" s="60"/>
      <c r="P25" s="60"/>
      <c r="Q25" s="42"/>
      <c r="R25" s="62">
        <f t="shared" si="5"/>
        <v>0</v>
      </c>
      <c r="S25" s="25"/>
      <c r="T25" s="28"/>
      <c r="U25" s="26"/>
    </row>
    <row r="26" spans="1:25" ht="18.75" customHeight="1" thickTop="1" thickBot="1" x14ac:dyDescent="0.35">
      <c r="A26" s="9">
        <v>23</v>
      </c>
      <c r="B26" s="78" t="s">
        <v>52</v>
      </c>
      <c r="C26" s="6" t="s">
        <v>12</v>
      </c>
      <c r="D26" s="5">
        <v>5</v>
      </c>
      <c r="E26" s="6">
        <v>5</v>
      </c>
      <c r="F26" s="30">
        <f t="shared" si="4"/>
        <v>0</v>
      </c>
      <c r="G26" s="9"/>
      <c r="H26" s="65">
        <v>220000</v>
      </c>
      <c r="I26" s="62">
        <f t="shared" si="3"/>
        <v>199999.99999999997</v>
      </c>
      <c r="J26" s="31">
        <f t="shared" si="0"/>
        <v>39999.999999999993</v>
      </c>
      <c r="K26" s="74">
        <v>0.5</v>
      </c>
      <c r="L26" s="69">
        <f t="shared" si="6"/>
        <v>19999.999999999996</v>
      </c>
      <c r="M26" s="20">
        <v>2</v>
      </c>
      <c r="N26" s="71">
        <f t="shared" si="2"/>
        <v>39999.999999999993</v>
      </c>
      <c r="O26" s="60"/>
      <c r="P26" s="60"/>
      <c r="Q26" s="42"/>
      <c r="R26" s="62">
        <f t="shared" si="5"/>
        <v>0</v>
      </c>
      <c r="S26" s="25"/>
      <c r="U26" s="26"/>
    </row>
    <row r="27" spans="1:25" ht="18.75" customHeight="1" thickTop="1" thickBot="1" x14ac:dyDescent="0.35">
      <c r="A27" s="9">
        <v>24</v>
      </c>
      <c r="B27" s="78" t="s">
        <v>73</v>
      </c>
      <c r="C27" s="6" t="s">
        <v>12</v>
      </c>
      <c r="D27" s="6">
        <v>5</v>
      </c>
      <c r="E27" s="6">
        <v>5</v>
      </c>
      <c r="F27" s="30">
        <f t="shared" si="4"/>
        <v>0</v>
      </c>
      <c r="G27" s="9"/>
      <c r="H27" s="65">
        <v>220000</v>
      </c>
      <c r="I27" s="62">
        <f t="shared" si="3"/>
        <v>199999.99999999997</v>
      </c>
      <c r="J27" s="31">
        <f t="shared" si="0"/>
        <v>39999.999999999993</v>
      </c>
      <c r="K27" s="74">
        <v>0.5</v>
      </c>
      <c r="L27" s="69">
        <f t="shared" si="6"/>
        <v>19999.999999999996</v>
      </c>
      <c r="M27" s="20">
        <v>0</v>
      </c>
      <c r="N27" s="71">
        <f t="shared" si="2"/>
        <v>0</v>
      </c>
      <c r="O27" s="60"/>
      <c r="P27" s="60"/>
      <c r="Q27" s="42"/>
      <c r="R27" s="62">
        <f t="shared" si="5"/>
        <v>0</v>
      </c>
      <c r="S27" s="25"/>
      <c r="U27" s="26"/>
    </row>
    <row r="28" spans="1:25" ht="18.75" customHeight="1" thickTop="1" thickBot="1" x14ac:dyDescent="0.35">
      <c r="A28" s="9">
        <v>25</v>
      </c>
      <c r="B28" s="78" t="s">
        <v>76</v>
      </c>
      <c r="C28" s="6" t="s">
        <v>12</v>
      </c>
      <c r="D28" s="11">
        <v>10</v>
      </c>
      <c r="E28" s="11">
        <v>0</v>
      </c>
      <c r="F28" s="30">
        <f t="shared" si="4"/>
        <v>10</v>
      </c>
      <c r="G28" s="9"/>
      <c r="H28" s="65">
        <v>440000</v>
      </c>
      <c r="I28" s="62">
        <f t="shared" si="3"/>
        <v>399999.99999999994</v>
      </c>
      <c r="J28" s="31">
        <f t="shared" si="0"/>
        <v>39999.999999999993</v>
      </c>
      <c r="K28" s="74">
        <v>0.5</v>
      </c>
      <c r="L28" s="69">
        <f t="shared" si="6"/>
        <v>19999.999999999996</v>
      </c>
      <c r="M28" s="20">
        <v>0</v>
      </c>
      <c r="N28" s="71">
        <f t="shared" si="2"/>
        <v>0</v>
      </c>
      <c r="O28" s="111" t="s">
        <v>18</v>
      </c>
      <c r="P28" s="111"/>
      <c r="Q28" s="111"/>
      <c r="R28" s="63">
        <f>SUM(Q5:Q27)</f>
        <v>8800000</v>
      </c>
      <c r="S28" s="25"/>
      <c r="U28" s="26"/>
    </row>
    <row r="29" spans="1:25" ht="18.75" customHeight="1" thickTop="1" thickBot="1" x14ac:dyDescent="0.35">
      <c r="A29" s="9">
        <v>26</v>
      </c>
      <c r="B29" s="94" t="s">
        <v>104</v>
      </c>
      <c r="C29" s="6" t="s">
        <v>12</v>
      </c>
      <c r="D29" s="6">
        <v>10</v>
      </c>
      <c r="E29" s="6">
        <v>10</v>
      </c>
      <c r="F29" s="30">
        <f t="shared" si="4"/>
        <v>0</v>
      </c>
      <c r="G29" s="9"/>
      <c r="H29" s="65">
        <v>440000</v>
      </c>
      <c r="I29" s="62">
        <f t="shared" si="3"/>
        <v>399999.99999999994</v>
      </c>
      <c r="J29" s="31">
        <f t="shared" si="0"/>
        <v>39999.999999999993</v>
      </c>
      <c r="K29" s="74">
        <v>0.5</v>
      </c>
      <c r="L29" s="69">
        <f t="shared" si="6"/>
        <v>19999.999999999996</v>
      </c>
      <c r="M29" s="20">
        <v>9</v>
      </c>
      <c r="N29" s="71">
        <f t="shared" si="2"/>
        <v>179999.99999999997</v>
      </c>
      <c r="O29" s="111" t="s">
        <v>16</v>
      </c>
      <c r="P29" s="111"/>
      <c r="Q29" s="111"/>
      <c r="R29" s="61"/>
      <c r="S29" s="25"/>
      <c r="U29" s="26"/>
    </row>
    <row r="30" spans="1:25" ht="18.75" customHeight="1" thickTop="1" thickBot="1" x14ac:dyDescent="0.35">
      <c r="A30" s="9">
        <v>27</v>
      </c>
      <c r="B30" s="101" t="s">
        <v>132</v>
      </c>
      <c r="C30" s="6" t="s">
        <v>12</v>
      </c>
      <c r="D30" s="6">
        <v>10</v>
      </c>
      <c r="E30" s="6">
        <v>2</v>
      </c>
      <c r="F30" s="30">
        <f t="shared" si="4"/>
        <v>8</v>
      </c>
      <c r="G30" s="9"/>
      <c r="H30" s="65">
        <v>440000</v>
      </c>
      <c r="I30" s="62">
        <f t="shared" si="3"/>
        <v>399999.99999999994</v>
      </c>
      <c r="J30" s="31">
        <f t="shared" si="0"/>
        <v>39999.999999999993</v>
      </c>
      <c r="K30" s="74">
        <v>0.5</v>
      </c>
      <c r="L30" s="69">
        <f t="shared" si="6"/>
        <v>19999.999999999996</v>
      </c>
      <c r="M30" s="20">
        <v>2</v>
      </c>
      <c r="N30" s="71">
        <f t="shared" si="2"/>
        <v>39999.999999999993</v>
      </c>
      <c r="O30" s="111" t="s">
        <v>17</v>
      </c>
      <c r="P30" s="111"/>
      <c r="Q30" s="111"/>
      <c r="R30" s="61">
        <f>R29+R28</f>
        <v>8800000</v>
      </c>
      <c r="S30" s="25"/>
      <c r="U30" s="26"/>
    </row>
    <row r="31" spans="1:25" ht="18.75" customHeight="1" thickTop="1" thickBot="1" x14ac:dyDescent="0.35">
      <c r="A31" s="9">
        <v>28</v>
      </c>
      <c r="B31" s="102" t="s">
        <v>147</v>
      </c>
      <c r="C31" s="5" t="s">
        <v>12</v>
      </c>
      <c r="D31" s="5">
        <v>10</v>
      </c>
      <c r="E31" s="5">
        <v>1</v>
      </c>
      <c r="F31" s="30">
        <f t="shared" si="4"/>
        <v>9</v>
      </c>
      <c r="G31" s="9"/>
      <c r="H31" s="65">
        <v>440000</v>
      </c>
      <c r="I31" s="62">
        <f t="shared" si="3"/>
        <v>399999.99999999994</v>
      </c>
      <c r="J31" s="31">
        <f t="shared" si="0"/>
        <v>39999.999999999993</v>
      </c>
      <c r="K31" s="74">
        <v>0.5</v>
      </c>
      <c r="L31" s="69">
        <f t="shared" si="6"/>
        <v>19999.999999999996</v>
      </c>
      <c r="M31" s="9">
        <v>1</v>
      </c>
      <c r="N31" s="71">
        <f t="shared" si="2"/>
        <v>19999.999999999996</v>
      </c>
      <c r="O31" s="113" t="s">
        <v>105</v>
      </c>
      <c r="P31" s="113"/>
      <c r="Q31" s="113"/>
      <c r="R31" s="115">
        <v>1200000</v>
      </c>
      <c r="S31" s="25"/>
      <c r="T31" s="10"/>
      <c r="U31" s="112"/>
      <c r="V31" s="112"/>
      <c r="W31" s="112"/>
      <c r="X31" s="10"/>
    </row>
    <row r="32" spans="1:25" ht="18.75" customHeight="1" thickTop="1" thickBot="1" x14ac:dyDescent="0.35">
      <c r="A32" s="9">
        <v>29</v>
      </c>
      <c r="B32" s="102" t="s">
        <v>87</v>
      </c>
      <c r="C32" s="5" t="s">
        <v>12</v>
      </c>
      <c r="D32" s="23">
        <v>30</v>
      </c>
      <c r="E32" s="23">
        <v>6</v>
      </c>
      <c r="F32" s="30">
        <f t="shared" si="4"/>
        <v>24</v>
      </c>
      <c r="G32" s="9"/>
      <c r="H32" s="65">
        <v>1320000</v>
      </c>
      <c r="I32" s="62">
        <f t="shared" si="3"/>
        <v>1200000</v>
      </c>
      <c r="J32" s="31">
        <f t="shared" si="0"/>
        <v>40000</v>
      </c>
      <c r="K32" s="74">
        <v>0.5</v>
      </c>
      <c r="L32" s="69">
        <f t="shared" si="6"/>
        <v>20000</v>
      </c>
      <c r="M32" s="86">
        <v>6</v>
      </c>
      <c r="N32" s="71">
        <f t="shared" si="2"/>
        <v>120000</v>
      </c>
      <c r="O32" s="113"/>
      <c r="P32" s="113"/>
      <c r="Q32" s="113"/>
      <c r="R32" s="115"/>
      <c r="S32" s="25"/>
      <c r="T32" s="10"/>
      <c r="U32" s="112"/>
      <c r="V32" s="112"/>
      <c r="W32" s="112"/>
      <c r="X32" s="10"/>
    </row>
    <row r="33" spans="1:26" ht="18.75" customHeight="1" thickTop="1" thickBot="1" x14ac:dyDescent="0.35">
      <c r="A33" s="9">
        <v>30</v>
      </c>
      <c r="B33" s="102" t="s">
        <v>148</v>
      </c>
      <c r="C33" s="5" t="s">
        <v>12</v>
      </c>
      <c r="D33" s="5">
        <v>10</v>
      </c>
      <c r="E33" s="5">
        <v>5</v>
      </c>
      <c r="F33" s="30">
        <f t="shared" si="4"/>
        <v>5</v>
      </c>
      <c r="G33" s="9"/>
      <c r="H33" s="65">
        <v>440000</v>
      </c>
      <c r="I33" s="62">
        <f t="shared" si="3"/>
        <v>399999.99999999994</v>
      </c>
      <c r="J33" s="31">
        <f t="shared" si="0"/>
        <v>39999.999999999993</v>
      </c>
      <c r="K33" s="74">
        <v>0.5</v>
      </c>
      <c r="L33" s="69">
        <f t="shared" si="6"/>
        <v>19999.999999999996</v>
      </c>
      <c r="M33" s="86">
        <v>5</v>
      </c>
      <c r="N33" s="71">
        <f t="shared" si="2"/>
        <v>99999.999999999985</v>
      </c>
      <c r="O33" s="113" t="s">
        <v>106</v>
      </c>
      <c r="P33" s="113"/>
      <c r="Q33" s="113"/>
      <c r="R33" s="114">
        <f>SUMIF(N4:N45,"&gt;0",N4:N45)</f>
        <v>2120000</v>
      </c>
      <c r="S33" s="25"/>
      <c r="T33" s="10"/>
      <c r="U33" s="112"/>
      <c r="V33" s="112"/>
      <c r="W33" s="112"/>
      <c r="X33" s="10"/>
    </row>
    <row r="34" spans="1:26" ht="18.75" customHeight="1" thickTop="1" thickBot="1" x14ac:dyDescent="0.35">
      <c r="A34" s="9">
        <v>31</v>
      </c>
      <c r="B34" s="102" t="s">
        <v>149</v>
      </c>
      <c r="C34" s="5" t="s">
        <v>12</v>
      </c>
      <c r="D34" s="5">
        <v>10</v>
      </c>
      <c r="E34" s="5">
        <v>8</v>
      </c>
      <c r="F34" s="30">
        <f t="shared" si="4"/>
        <v>2</v>
      </c>
      <c r="G34" s="9"/>
      <c r="H34" s="65">
        <v>440000</v>
      </c>
      <c r="I34" s="62">
        <f t="shared" si="3"/>
        <v>399999.99999999994</v>
      </c>
      <c r="J34" s="31">
        <f t="shared" si="0"/>
        <v>39999.999999999993</v>
      </c>
      <c r="K34" s="74">
        <v>0.5</v>
      </c>
      <c r="L34" s="69">
        <f t="shared" ref="L34:L43" si="7">PRODUCT(K34,J34)</f>
        <v>19999.999999999996</v>
      </c>
      <c r="M34" s="86">
        <v>8</v>
      </c>
      <c r="N34" s="71">
        <f t="shared" ref="N34:N43" si="8">PRODUCT(M34,L34)</f>
        <v>159999.99999999997</v>
      </c>
      <c r="O34" s="113"/>
      <c r="P34" s="113"/>
      <c r="Q34" s="113"/>
      <c r="R34" s="114"/>
      <c r="S34" s="25"/>
      <c r="T34" s="10"/>
      <c r="U34" s="112"/>
      <c r="V34" s="112"/>
      <c r="W34" s="112"/>
      <c r="X34" s="10"/>
      <c r="Y34"/>
      <c r="Z34"/>
    </row>
    <row r="35" spans="1:26" ht="18.75" customHeight="1" thickTop="1" thickBot="1" x14ac:dyDescent="0.35">
      <c r="A35" s="9">
        <v>32</v>
      </c>
      <c r="B35" s="21"/>
      <c r="C35" s="5"/>
      <c r="D35" s="23"/>
      <c r="E35" s="23"/>
      <c r="F35" s="30">
        <f t="shared" si="4"/>
        <v>0</v>
      </c>
      <c r="G35" s="9"/>
      <c r="H35" s="66"/>
      <c r="I35" s="62">
        <f t="shared" si="3"/>
        <v>0</v>
      </c>
      <c r="J35" s="31" t="e">
        <f t="shared" si="0"/>
        <v>#DIV/0!</v>
      </c>
      <c r="K35" s="74">
        <v>0.5</v>
      </c>
      <c r="L35" s="69" t="e">
        <f t="shared" si="7"/>
        <v>#DIV/0!</v>
      </c>
      <c r="M35" s="24"/>
      <c r="N35" s="71" t="e">
        <f t="shared" si="8"/>
        <v>#DIV/0!</v>
      </c>
      <c r="O35" s="113" t="s">
        <v>22</v>
      </c>
      <c r="P35" s="113"/>
      <c r="Q35" s="113"/>
      <c r="R35" s="118">
        <f>R31+R33</f>
        <v>3320000</v>
      </c>
      <c r="X35"/>
    </row>
    <row r="36" spans="1:26" ht="18.75" customHeight="1" thickTop="1" thickBot="1" x14ac:dyDescent="0.35">
      <c r="A36" s="9">
        <v>33</v>
      </c>
      <c r="B36" s="21"/>
      <c r="C36" s="5"/>
      <c r="D36" s="5"/>
      <c r="E36" s="5"/>
      <c r="F36" s="30">
        <f t="shared" si="4"/>
        <v>0</v>
      </c>
      <c r="G36" s="9"/>
      <c r="H36" s="65"/>
      <c r="I36" s="62">
        <f t="shared" si="3"/>
        <v>0</v>
      </c>
      <c r="J36" s="31" t="e">
        <f t="shared" si="0"/>
        <v>#DIV/0!</v>
      </c>
      <c r="K36" s="74">
        <v>0.5</v>
      </c>
      <c r="L36" s="69" t="e">
        <f t="shared" si="7"/>
        <v>#DIV/0!</v>
      </c>
      <c r="M36" s="24"/>
      <c r="N36" s="71" t="e">
        <f t="shared" si="8"/>
        <v>#DIV/0!</v>
      </c>
      <c r="O36" s="113"/>
      <c r="P36" s="113"/>
      <c r="Q36" s="113"/>
      <c r="R36" s="118"/>
      <c r="X36"/>
      <c r="Y36"/>
      <c r="Z36"/>
    </row>
    <row r="37" spans="1:26" ht="18.75" customHeight="1" thickTop="1" thickBot="1" x14ac:dyDescent="0.35">
      <c r="A37" s="9">
        <v>34</v>
      </c>
      <c r="B37" s="19"/>
      <c r="C37" s="5"/>
      <c r="D37" s="23"/>
      <c r="E37" s="23"/>
      <c r="F37" s="30">
        <f t="shared" si="4"/>
        <v>0</v>
      </c>
      <c r="G37" s="9"/>
      <c r="H37" s="66"/>
      <c r="I37" s="62">
        <f t="shared" si="3"/>
        <v>0</v>
      </c>
      <c r="J37" s="31" t="e">
        <f t="shared" si="0"/>
        <v>#DIV/0!</v>
      </c>
      <c r="K37" s="74">
        <v>0.5</v>
      </c>
      <c r="L37" s="69" t="e">
        <f t="shared" si="7"/>
        <v>#DIV/0!</v>
      </c>
      <c r="M37" s="24"/>
      <c r="N37" s="71" t="e">
        <f t="shared" si="8"/>
        <v>#DIV/0!</v>
      </c>
      <c r="O37" s="117" t="s">
        <v>107</v>
      </c>
      <c r="P37" s="117"/>
      <c r="Q37" s="117"/>
      <c r="R37" s="117"/>
      <c r="S37"/>
      <c r="X37"/>
      <c r="Y37"/>
      <c r="Z37"/>
    </row>
    <row r="38" spans="1:26" ht="18.75" customHeight="1" thickTop="1" thickBot="1" x14ac:dyDescent="0.35">
      <c r="A38" s="9">
        <v>35</v>
      </c>
      <c r="B38" s="19"/>
      <c r="C38" s="8"/>
      <c r="D38" s="8"/>
      <c r="E38" s="8"/>
      <c r="F38" s="30">
        <f t="shared" si="4"/>
        <v>0</v>
      </c>
      <c r="G38" s="9"/>
      <c r="H38" s="66"/>
      <c r="I38" s="62">
        <f t="shared" si="3"/>
        <v>0</v>
      </c>
      <c r="J38" s="31" t="e">
        <f t="shared" si="0"/>
        <v>#DIV/0!</v>
      </c>
      <c r="K38" s="74">
        <v>0.5</v>
      </c>
      <c r="L38" s="69" t="e">
        <f t="shared" si="7"/>
        <v>#DIV/0!</v>
      </c>
      <c r="M38" s="24"/>
      <c r="N38" s="71" t="e">
        <f t="shared" si="8"/>
        <v>#DIV/0!</v>
      </c>
      <c r="O38" s="117" t="s">
        <v>108</v>
      </c>
      <c r="P38" s="117"/>
      <c r="Q38" s="117"/>
      <c r="R38" s="117"/>
      <c r="S38"/>
      <c r="X38"/>
      <c r="Y38"/>
      <c r="Z38"/>
    </row>
    <row r="39" spans="1:26" ht="18.75" customHeight="1" thickTop="1" thickBot="1" x14ac:dyDescent="0.35">
      <c r="A39" s="9">
        <v>36</v>
      </c>
      <c r="B39" s="19"/>
      <c r="C39" s="8"/>
      <c r="D39" s="8"/>
      <c r="E39" s="8"/>
      <c r="F39" s="30">
        <f t="shared" si="4"/>
        <v>0</v>
      </c>
      <c r="G39" s="9"/>
      <c r="H39" s="67"/>
      <c r="I39" s="62">
        <f t="shared" si="3"/>
        <v>0</v>
      </c>
      <c r="J39" s="31" t="e">
        <f t="shared" si="0"/>
        <v>#DIV/0!</v>
      </c>
      <c r="K39" s="74">
        <v>0.5</v>
      </c>
      <c r="L39" s="69" t="e">
        <f t="shared" si="7"/>
        <v>#DIV/0!</v>
      </c>
      <c r="M39" s="24"/>
      <c r="N39" s="71" t="e">
        <f t="shared" si="8"/>
        <v>#DIV/0!</v>
      </c>
      <c r="O39" s="117" t="s">
        <v>109</v>
      </c>
      <c r="P39" s="117"/>
      <c r="Q39" s="117"/>
      <c r="R39" s="117"/>
      <c r="S39"/>
      <c r="X39"/>
      <c r="Y39"/>
      <c r="Z39"/>
    </row>
    <row r="40" spans="1:26" ht="18.75" customHeight="1" thickTop="1" thickBot="1" x14ac:dyDescent="0.35">
      <c r="A40" s="9">
        <v>37</v>
      </c>
      <c r="B40" s="19"/>
      <c r="C40" s="8"/>
      <c r="D40" s="8"/>
      <c r="E40" s="8"/>
      <c r="F40" s="30">
        <f t="shared" si="4"/>
        <v>0</v>
      </c>
      <c r="G40" s="9"/>
      <c r="H40" s="67"/>
      <c r="I40" s="62">
        <f t="shared" si="3"/>
        <v>0</v>
      </c>
      <c r="J40" s="31" t="e">
        <f t="shared" si="0"/>
        <v>#DIV/0!</v>
      </c>
      <c r="K40" s="74">
        <v>0.5</v>
      </c>
      <c r="L40" s="69" t="e">
        <f t="shared" si="7"/>
        <v>#DIV/0!</v>
      </c>
      <c r="M40" s="24"/>
      <c r="N40" s="71" t="e">
        <f t="shared" si="8"/>
        <v>#DIV/0!</v>
      </c>
      <c r="O40" s="117" t="s">
        <v>110</v>
      </c>
      <c r="P40" s="117"/>
      <c r="Q40" s="117"/>
      <c r="R40" s="117"/>
      <c r="S40"/>
      <c r="X40"/>
      <c r="Y40"/>
      <c r="Z40"/>
    </row>
    <row r="41" spans="1:26" ht="18.75" customHeight="1" thickTop="1" thickBot="1" x14ac:dyDescent="0.35">
      <c r="A41" s="9">
        <v>38</v>
      </c>
      <c r="B41" s="19"/>
      <c r="C41" s="3"/>
      <c r="D41" s="8"/>
      <c r="E41" s="8"/>
      <c r="F41" s="30">
        <f t="shared" si="4"/>
        <v>0</v>
      </c>
      <c r="G41" s="9"/>
      <c r="H41" s="67"/>
      <c r="I41" s="62">
        <f t="shared" si="3"/>
        <v>0</v>
      </c>
      <c r="J41" s="31" t="e">
        <f t="shared" si="0"/>
        <v>#DIV/0!</v>
      </c>
      <c r="K41" s="74">
        <v>0.5</v>
      </c>
      <c r="L41" s="69" t="e">
        <f t="shared" si="7"/>
        <v>#DIV/0!</v>
      </c>
      <c r="M41" s="24"/>
      <c r="N41" s="71" t="e">
        <f t="shared" si="8"/>
        <v>#DIV/0!</v>
      </c>
      <c r="O41" s="117" t="s">
        <v>111</v>
      </c>
      <c r="P41" s="117"/>
      <c r="Q41" s="117"/>
      <c r="R41" s="117"/>
      <c r="S41"/>
      <c r="X41"/>
      <c r="Y41"/>
      <c r="Z41"/>
    </row>
    <row r="42" spans="1:26" ht="18.75" customHeight="1" thickTop="1" thickBot="1" x14ac:dyDescent="0.35">
      <c r="A42" s="9">
        <v>39</v>
      </c>
      <c r="B42" s="19"/>
      <c r="C42" s="8"/>
      <c r="D42" s="8"/>
      <c r="E42" s="8"/>
      <c r="F42" s="30">
        <f t="shared" si="4"/>
        <v>0</v>
      </c>
      <c r="G42" s="9"/>
      <c r="H42" s="67"/>
      <c r="I42" s="62">
        <f t="shared" si="3"/>
        <v>0</v>
      </c>
      <c r="J42" s="31" t="e">
        <f t="shared" si="0"/>
        <v>#DIV/0!</v>
      </c>
      <c r="K42" s="74">
        <v>0.5</v>
      </c>
      <c r="L42" s="69" t="e">
        <f t="shared" si="7"/>
        <v>#DIV/0!</v>
      </c>
      <c r="M42" s="24"/>
      <c r="N42" s="71" t="e">
        <f t="shared" si="8"/>
        <v>#DIV/0!</v>
      </c>
      <c r="O42" s="117" t="s">
        <v>112</v>
      </c>
      <c r="P42" s="117"/>
      <c r="Q42" s="117"/>
      <c r="R42" s="117"/>
      <c r="S42"/>
      <c r="X42"/>
      <c r="Y42"/>
      <c r="Z42"/>
    </row>
    <row r="43" spans="1:26" ht="18.75" customHeight="1" thickTop="1" thickBot="1" x14ac:dyDescent="0.35">
      <c r="A43" s="9">
        <v>40</v>
      </c>
      <c r="B43" s="19"/>
      <c r="C43" s="8"/>
      <c r="D43" s="8"/>
      <c r="E43" s="8"/>
      <c r="F43" s="30">
        <f t="shared" si="4"/>
        <v>0</v>
      </c>
      <c r="G43" s="9"/>
      <c r="H43" s="67"/>
      <c r="I43" s="62">
        <f t="shared" si="3"/>
        <v>0</v>
      </c>
      <c r="J43" s="31" t="e">
        <f t="shared" si="0"/>
        <v>#DIV/0!</v>
      </c>
      <c r="K43" s="74">
        <v>0.5</v>
      </c>
      <c r="L43" s="69" t="e">
        <f t="shared" si="7"/>
        <v>#DIV/0!</v>
      </c>
      <c r="M43" s="24"/>
      <c r="N43" s="71" t="e">
        <f t="shared" si="8"/>
        <v>#DIV/0!</v>
      </c>
      <c r="O43" s="117" t="s">
        <v>113</v>
      </c>
      <c r="P43" s="117"/>
      <c r="Q43" s="117"/>
      <c r="R43" s="117"/>
      <c r="S43"/>
      <c r="X43"/>
      <c r="Y43"/>
      <c r="Z43"/>
    </row>
    <row r="44" spans="1:26" ht="18.75" customHeight="1" thickTop="1" thickBot="1" x14ac:dyDescent="0.35">
      <c r="A44" s="9">
        <v>41</v>
      </c>
      <c r="B44" s="19"/>
      <c r="C44" s="8"/>
      <c r="D44" s="8"/>
      <c r="E44" s="8"/>
      <c r="F44" s="30">
        <f t="shared" si="4"/>
        <v>0</v>
      </c>
      <c r="G44" s="9"/>
      <c r="H44" s="67"/>
      <c r="I44" s="62">
        <f t="shared" si="3"/>
        <v>0</v>
      </c>
      <c r="J44" s="31" t="e">
        <f t="shared" si="0"/>
        <v>#DIV/0!</v>
      </c>
      <c r="K44" s="74">
        <v>0.5</v>
      </c>
      <c r="L44" s="69" t="e">
        <f t="shared" ref="L44:L45" si="9">PRODUCT(K44,J44)</f>
        <v>#DIV/0!</v>
      </c>
      <c r="M44" s="24"/>
      <c r="N44" s="71" t="e">
        <f t="shared" ref="N44:N45" si="10">PRODUCT(M44,L44)</f>
        <v>#DIV/0!</v>
      </c>
      <c r="O44" s="117" t="s">
        <v>114</v>
      </c>
      <c r="P44" s="117"/>
      <c r="Q44" s="117"/>
      <c r="R44" s="117"/>
      <c r="S44"/>
    </row>
    <row r="45" spans="1:26" ht="18.75" customHeight="1" thickTop="1" thickBot="1" x14ac:dyDescent="0.35">
      <c r="A45" s="9">
        <v>42</v>
      </c>
      <c r="B45" s="19"/>
      <c r="C45" s="8"/>
      <c r="D45" s="8"/>
      <c r="E45" s="8"/>
      <c r="F45" s="30">
        <f t="shared" si="4"/>
        <v>0</v>
      </c>
      <c r="G45" s="9"/>
      <c r="H45" s="67"/>
      <c r="I45" s="62">
        <f t="shared" si="3"/>
        <v>0</v>
      </c>
      <c r="J45" s="31" t="e">
        <f t="shared" si="0"/>
        <v>#DIV/0!</v>
      </c>
      <c r="K45" s="74">
        <v>0.5</v>
      </c>
      <c r="L45" s="69" t="e">
        <f t="shared" si="9"/>
        <v>#DIV/0!</v>
      </c>
      <c r="M45" s="24"/>
      <c r="N45" s="71" t="e">
        <f t="shared" si="10"/>
        <v>#DIV/0!</v>
      </c>
      <c r="O45" s="117" t="s">
        <v>115</v>
      </c>
      <c r="P45" s="117"/>
      <c r="Q45" s="117"/>
      <c r="R45" s="117"/>
      <c r="S45"/>
    </row>
    <row r="46" spans="1:26" ht="17.25" thickTop="1" x14ac:dyDescent="0.3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16"/>
      <c r="B48" s="7"/>
      <c r="C48" s="7"/>
      <c r="D48" s="7"/>
      <c r="E48" s="116"/>
      <c r="F48" s="116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116"/>
      <c r="B49" s="7"/>
      <c r="C49" s="7"/>
      <c r="D49" s="7"/>
      <c r="E49" s="116"/>
      <c r="F49" s="116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116"/>
      <c r="B53" s="116"/>
      <c r="C53" s="116"/>
      <c r="D53" s="116"/>
      <c r="E53" s="116"/>
      <c r="F53" s="116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16"/>
      <c r="B54" s="116"/>
      <c r="C54" s="7"/>
      <c r="D54" s="7"/>
      <c r="E54" s="116"/>
      <c r="F54" s="116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116"/>
      <c r="B55" s="7"/>
      <c r="C55" s="7"/>
      <c r="D55" s="7"/>
      <c r="E55" s="116"/>
      <c r="F55" s="116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116"/>
      <c r="B57" s="11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57:B57"/>
    <mergeCell ref="A53:A55"/>
    <mergeCell ref="B53:B54"/>
    <mergeCell ref="C53:D53"/>
    <mergeCell ref="E53:F54"/>
    <mergeCell ref="E55:F55"/>
    <mergeCell ref="A46:N46"/>
    <mergeCell ref="A48:A49"/>
    <mergeCell ref="E48:F48"/>
    <mergeCell ref="E49:F49"/>
    <mergeCell ref="U34:W34"/>
    <mergeCell ref="O44:R44"/>
    <mergeCell ref="O45:R45"/>
    <mergeCell ref="A1:H2"/>
    <mergeCell ref="O3:R3"/>
    <mergeCell ref="O28:Q28"/>
    <mergeCell ref="O29:Q29"/>
    <mergeCell ref="O30:Q30"/>
    <mergeCell ref="U31:W31"/>
    <mergeCell ref="U32:W32"/>
    <mergeCell ref="U33:W33"/>
    <mergeCell ref="O42:R42"/>
    <mergeCell ref="O43:R43"/>
    <mergeCell ref="O37:R37"/>
    <mergeCell ref="O38:R38"/>
    <mergeCell ref="O39:R39"/>
    <mergeCell ref="O35:Q36"/>
    <mergeCell ref="R35:R36"/>
    <mergeCell ref="O40:R40"/>
    <mergeCell ref="O41:R41"/>
    <mergeCell ref="R31:R32"/>
    <mergeCell ref="O31:Q32"/>
    <mergeCell ref="O33:Q34"/>
    <mergeCell ref="R33:R34"/>
  </mergeCells>
  <phoneticPr fontId="33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49C2-3D3C-4B29-BD84-1F0A36B5D85F}">
  <sheetPr>
    <pageSetUpPr fitToPage="1"/>
  </sheetPr>
  <dimension ref="A1:Z58"/>
  <sheetViews>
    <sheetView topLeftCell="A4" zoomScale="85" zoomScaleNormal="85" workbookViewId="0">
      <selection activeCell="G15" sqref="G15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08" t="s">
        <v>31</v>
      </c>
      <c r="B1" s="108"/>
      <c r="C1" s="108"/>
      <c r="D1" s="108"/>
      <c r="E1" s="108"/>
      <c r="F1" s="108"/>
      <c r="G1" s="108"/>
      <c r="H1" s="108"/>
      <c r="I1" s="39" t="s">
        <v>25</v>
      </c>
      <c r="J1" s="81" t="s">
        <v>100</v>
      </c>
      <c r="K1" s="38" t="s">
        <v>4</v>
      </c>
      <c r="L1" s="38" t="s">
        <v>2</v>
      </c>
      <c r="M1" s="38" t="s">
        <v>12</v>
      </c>
      <c r="N1" s="43" t="s">
        <v>27</v>
      </c>
      <c r="O1" s="43" t="s">
        <v>29</v>
      </c>
      <c r="P1" s="44" t="s">
        <v>30</v>
      </c>
      <c r="Q1" s="72" t="s">
        <v>34</v>
      </c>
      <c r="R1" s="43" t="s">
        <v>33</v>
      </c>
    </row>
    <row r="2" spans="1:25" ht="21.75" customHeight="1" thickTop="1" thickBot="1" x14ac:dyDescent="0.35">
      <c r="A2" s="109"/>
      <c r="B2" s="109"/>
      <c r="C2" s="109"/>
      <c r="D2" s="109"/>
      <c r="E2" s="109"/>
      <c r="F2" s="109"/>
      <c r="G2" s="109"/>
      <c r="H2" s="109"/>
      <c r="I2" s="39" t="s">
        <v>26</v>
      </c>
      <c r="J2" s="81" t="s">
        <v>103</v>
      </c>
      <c r="K2" s="45">
        <f>COUNTA(B4:B45)</f>
        <v>9</v>
      </c>
      <c r="L2" s="45">
        <f>COUNTIFS(C4:C45,"남")</f>
        <v>4</v>
      </c>
      <c r="M2" s="45">
        <f>COUNTIFS(C4:C45,"여")</f>
        <v>5</v>
      </c>
      <c r="N2" s="46">
        <f>AVERAGEIF(J4:J44,"&gt;0",J4:J44)</f>
        <v>38222.222222222219</v>
      </c>
      <c r="O2" s="47">
        <f>SUM(M4:M45)</f>
        <v>53</v>
      </c>
      <c r="P2" s="48">
        <f>SUM(F4:F45)</f>
        <v>48</v>
      </c>
      <c r="Q2" s="73">
        <f>SUM(Q5:Q27)</f>
        <v>2640000</v>
      </c>
      <c r="R2" s="73">
        <f>SUM(R5:R27)</f>
        <v>2399999.9999999995</v>
      </c>
    </row>
    <row r="3" spans="1:25" ht="30" thickTop="1" thickBot="1" x14ac:dyDescent="0.35">
      <c r="A3" s="38" t="s">
        <v>0</v>
      </c>
      <c r="B3" s="39" t="s">
        <v>3</v>
      </c>
      <c r="C3" s="38" t="s">
        <v>1</v>
      </c>
      <c r="D3" s="38" t="s">
        <v>20</v>
      </c>
      <c r="E3" s="39" t="s">
        <v>37</v>
      </c>
      <c r="F3" s="39" t="s">
        <v>5</v>
      </c>
      <c r="G3" s="39" t="s">
        <v>32</v>
      </c>
      <c r="H3" s="39" t="s">
        <v>15</v>
      </c>
      <c r="I3" s="40" t="s">
        <v>21</v>
      </c>
      <c r="J3" s="40" t="s">
        <v>11</v>
      </c>
      <c r="K3" s="41" t="s">
        <v>13</v>
      </c>
      <c r="L3" s="40" t="s">
        <v>14</v>
      </c>
      <c r="M3" s="40" t="s">
        <v>19</v>
      </c>
      <c r="N3" s="40" t="s">
        <v>14</v>
      </c>
      <c r="O3" s="110" t="s">
        <v>6</v>
      </c>
      <c r="P3" s="110"/>
      <c r="Q3" s="110"/>
      <c r="R3" s="110"/>
    </row>
    <row r="4" spans="1:25" ht="18.75" customHeight="1" thickTop="1" thickBot="1" x14ac:dyDescent="0.35">
      <c r="A4" s="32">
        <v>1</v>
      </c>
      <c r="B4" s="88" t="s">
        <v>150</v>
      </c>
      <c r="C4" s="33" t="s">
        <v>151</v>
      </c>
      <c r="D4" s="34">
        <v>10</v>
      </c>
      <c r="E4" s="34">
        <v>9</v>
      </c>
      <c r="F4" s="35">
        <v>1</v>
      </c>
      <c r="G4" s="32" t="s">
        <v>152</v>
      </c>
      <c r="H4" s="107">
        <v>440000</v>
      </c>
      <c r="I4" s="106">
        <v>400000</v>
      </c>
      <c r="J4" s="36">
        <v>40000</v>
      </c>
      <c r="K4" s="74">
        <v>0.4</v>
      </c>
      <c r="L4" s="103">
        <v>20000</v>
      </c>
      <c r="M4" s="37">
        <v>6</v>
      </c>
      <c r="N4" s="71">
        <f t="shared" ref="N4:N15" si="0">PRODUCT(M4,L4)</f>
        <v>120000</v>
      </c>
      <c r="O4" s="49" t="s">
        <v>7</v>
      </c>
      <c r="P4" s="49" t="s">
        <v>10</v>
      </c>
      <c r="Q4" s="49" t="s">
        <v>8</v>
      </c>
      <c r="R4" s="50" t="s">
        <v>9</v>
      </c>
      <c r="Y4" s="4"/>
    </row>
    <row r="5" spans="1:25" ht="18.75" customHeight="1" thickTop="1" thickBot="1" x14ac:dyDescent="0.35">
      <c r="A5" s="9">
        <v>2</v>
      </c>
      <c r="B5" s="76" t="s">
        <v>153</v>
      </c>
      <c r="C5" s="6" t="s">
        <v>151</v>
      </c>
      <c r="D5" s="5">
        <v>15</v>
      </c>
      <c r="E5" s="5">
        <v>10</v>
      </c>
      <c r="F5" s="30">
        <v>5</v>
      </c>
      <c r="G5" s="9" t="s">
        <v>154</v>
      </c>
      <c r="H5" s="104">
        <v>660000</v>
      </c>
      <c r="I5" s="106">
        <v>660000</v>
      </c>
      <c r="J5" s="31">
        <v>44000</v>
      </c>
      <c r="K5" s="74">
        <v>0.4</v>
      </c>
      <c r="L5" s="105">
        <v>22000</v>
      </c>
      <c r="M5" s="20">
        <v>6</v>
      </c>
      <c r="N5" s="71">
        <f t="shared" si="0"/>
        <v>132000</v>
      </c>
      <c r="O5" s="119" t="s">
        <v>173</v>
      </c>
      <c r="P5" s="98" t="s">
        <v>36</v>
      </c>
      <c r="Q5" s="51">
        <v>440000</v>
      </c>
      <c r="R5" s="62">
        <f>IF(P5="현금",Q5,Q5/1.1)</f>
        <v>399999.99999999994</v>
      </c>
      <c r="Y5" s="4"/>
    </row>
    <row r="6" spans="1:25" ht="18.75" customHeight="1" thickTop="1" thickBot="1" x14ac:dyDescent="0.35">
      <c r="A6" s="9">
        <v>3</v>
      </c>
      <c r="B6" s="76" t="s">
        <v>155</v>
      </c>
      <c r="C6" s="6" t="s">
        <v>151</v>
      </c>
      <c r="D6" s="5">
        <v>10</v>
      </c>
      <c r="E6" s="5">
        <v>10</v>
      </c>
      <c r="F6" s="30">
        <v>0</v>
      </c>
      <c r="G6" s="9" t="s">
        <v>156</v>
      </c>
      <c r="H6" s="104">
        <v>440000</v>
      </c>
      <c r="I6" s="106">
        <v>400000</v>
      </c>
      <c r="J6" s="31">
        <v>40000</v>
      </c>
      <c r="K6" s="74">
        <v>0.4</v>
      </c>
      <c r="L6" s="105">
        <v>20000</v>
      </c>
      <c r="M6" s="20">
        <v>8</v>
      </c>
      <c r="N6" s="71">
        <f t="shared" si="0"/>
        <v>160000</v>
      </c>
      <c r="O6" s="119" t="s">
        <v>172</v>
      </c>
      <c r="P6" s="98" t="s">
        <v>36</v>
      </c>
      <c r="Q6" s="51">
        <v>880000</v>
      </c>
      <c r="R6" s="62">
        <f t="shared" ref="R6:R27" si="1">IF(P6="현금",Q6,Q6/1.1)</f>
        <v>799999.99999999988</v>
      </c>
      <c r="Y6" s="4"/>
    </row>
    <row r="7" spans="1:25" ht="18.75" customHeight="1" thickTop="1" thickBot="1" x14ac:dyDescent="0.35">
      <c r="A7" s="9">
        <v>4</v>
      </c>
      <c r="B7" s="76" t="s">
        <v>157</v>
      </c>
      <c r="C7" s="6" t="s">
        <v>2</v>
      </c>
      <c r="D7" s="5">
        <v>5</v>
      </c>
      <c r="E7" s="5">
        <v>2</v>
      </c>
      <c r="F7" s="30">
        <v>3</v>
      </c>
      <c r="G7" s="9" t="s">
        <v>158</v>
      </c>
      <c r="H7" s="104">
        <v>220000</v>
      </c>
      <c r="I7" s="106">
        <v>200000</v>
      </c>
      <c r="J7" s="31">
        <v>40000</v>
      </c>
      <c r="K7" s="74">
        <v>0.4</v>
      </c>
      <c r="L7" s="105">
        <v>20000</v>
      </c>
      <c r="M7" s="20">
        <v>2</v>
      </c>
      <c r="N7" s="71">
        <f t="shared" si="0"/>
        <v>40000</v>
      </c>
      <c r="O7" s="87" t="s">
        <v>174</v>
      </c>
      <c r="P7" s="98" t="s">
        <v>36</v>
      </c>
      <c r="Q7" s="51">
        <v>440000</v>
      </c>
      <c r="R7" s="62">
        <f t="shared" si="1"/>
        <v>399999.99999999994</v>
      </c>
      <c r="Y7" s="4"/>
    </row>
    <row r="8" spans="1:25" ht="18.75" customHeight="1" thickTop="1" thickBot="1" x14ac:dyDescent="0.35">
      <c r="A8" s="9">
        <v>5</v>
      </c>
      <c r="B8" s="76" t="s">
        <v>159</v>
      </c>
      <c r="C8" s="6" t="s">
        <v>151</v>
      </c>
      <c r="D8" s="5">
        <v>15</v>
      </c>
      <c r="E8" s="5">
        <v>13</v>
      </c>
      <c r="F8" s="30">
        <v>2</v>
      </c>
      <c r="G8" s="9" t="s">
        <v>158</v>
      </c>
      <c r="H8" s="104">
        <v>660000</v>
      </c>
      <c r="I8" s="106">
        <v>600000</v>
      </c>
      <c r="J8" s="31">
        <v>40000</v>
      </c>
      <c r="K8" s="74">
        <v>0.4</v>
      </c>
      <c r="L8" s="105">
        <v>20000</v>
      </c>
      <c r="M8" s="20">
        <v>5</v>
      </c>
      <c r="N8" s="71">
        <f t="shared" si="0"/>
        <v>100000</v>
      </c>
      <c r="O8" s="55" t="s">
        <v>173</v>
      </c>
      <c r="P8" s="56" t="s">
        <v>36</v>
      </c>
      <c r="Q8" s="51">
        <v>440000</v>
      </c>
      <c r="R8" s="62">
        <f t="shared" si="1"/>
        <v>399999.99999999994</v>
      </c>
      <c r="Y8" s="4"/>
    </row>
    <row r="9" spans="1:25" ht="18.75" customHeight="1" thickTop="1" thickBot="1" x14ac:dyDescent="0.35">
      <c r="A9" s="9">
        <v>6</v>
      </c>
      <c r="B9" s="76" t="s">
        <v>160</v>
      </c>
      <c r="C9" s="6" t="s">
        <v>2</v>
      </c>
      <c r="D9" s="5">
        <v>10</v>
      </c>
      <c r="E9" s="5">
        <v>7</v>
      </c>
      <c r="F9" s="30">
        <v>3</v>
      </c>
      <c r="G9" s="9" t="s">
        <v>158</v>
      </c>
      <c r="H9" s="104">
        <v>440000</v>
      </c>
      <c r="I9" s="106">
        <v>400000</v>
      </c>
      <c r="J9" s="31">
        <v>40000</v>
      </c>
      <c r="K9" s="74">
        <v>0.4</v>
      </c>
      <c r="L9" s="105">
        <v>20000</v>
      </c>
      <c r="M9" s="20">
        <v>6</v>
      </c>
      <c r="N9" s="71">
        <f t="shared" si="0"/>
        <v>120000</v>
      </c>
      <c r="O9" s="55" t="s">
        <v>145</v>
      </c>
      <c r="P9" s="56" t="s">
        <v>36</v>
      </c>
      <c r="Q9" s="57">
        <v>440000</v>
      </c>
      <c r="R9" s="62">
        <f t="shared" si="1"/>
        <v>399999.99999999994</v>
      </c>
      <c r="Y9" s="4"/>
    </row>
    <row r="10" spans="1:25" ht="18.75" customHeight="1" thickTop="1" thickBot="1" x14ac:dyDescent="0.35">
      <c r="A10" s="9">
        <v>7</v>
      </c>
      <c r="B10" s="80" t="s">
        <v>161</v>
      </c>
      <c r="C10" s="6" t="s">
        <v>2</v>
      </c>
      <c r="D10" s="5">
        <v>10</v>
      </c>
      <c r="E10" s="5">
        <v>7</v>
      </c>
      <c r="F10" s="30">
        <v>3</v>
      </c>
      <c r="G10" s="9" t="s">
        <v>152</v>
      </c>
      <c r="H10" s="104">
        <v>220000</v>
      </c>
      <c r="I10" s="106">
        <v>200000</v>
      </c>
      <c r="J10" s="31">
        <v>20000</v>
      </c>
      <c r="K10" s="74">
        <v>0.4</v>
      </c>
      <c r="L10" s="105">
        <v>10000</v>
      </c>
      <c r="M10" s="20">
        <v>6</v>
      </c>
      <c r="N10" s="71">
        <f t="shared" si="0"/>
        <v>60000</v>
      </c>
      <c r="O10" s="55"/>
      <c r="P10" s="56"/>
      <c r="Q10" s="51"/>
      <c r="R10" s="62">
        <f t="shared" si="1"/>
        <v>0</v>
      </c>
      <c r="Y10" s="4"/>
    </row>
    <row r="11" spans="1:25" ht="18.75" customHeight="1" thickTop="1" thickBot="1" x14ac:dyDescent="0.35">
      <c r="A11" s="9">
        <v>8</v>
      </c>
      <c r="B11" s="80" t="s">
        <v>162</v>
      </c>
      <c r="C11" s="6" t="s">
        <v>2</v>
      </c>
      <c r="D11" s="5">
        <v>25</v>
      </c>
      <c r="E11" s="5">
        <v>6</v>
      </c>
      <c r="F11" s="30">
        <v>19</v>
      </c>
      <c r="G11" s="9" t="s">
        <v>158</v>
      </c>
      <c r="H11" s="104">
        <v>1100000</v>
      </c>
      <c r="I11" s="106">
        <v>1000000</v>
      </c>
      <c r="J11" s="31">
        <v>40000</v>
      </c>
      <c r="K11" s="74">
        <v>0.4</v>
      </c>
      <c r="L11" s="105">
        <v>12000</v>
      </c>
      <c r="M11" s="20">
        <v>6</v>
      </c>
      <c r="N11" s="71">
        <f t="shared" si="0"/>
        <v>72000</v>
      </c>
      <c r="O11" s="55"/>
      <c r="P11" s="56"/>
      <c r="Q11" s="57"/>
      <c r="R11" s="62">
        <f t="shared" si="1"/>
        <v>0</v>
      </c>
      <c r="Y11" s="4"/>
    </row>
    <row r="12" spans="1:25" ht="18.75" customHeight="1" thickTop="1" thickBot="1" x14ac:dyDescent="0.35">
      <c r="A12" s="9">
        <v>9</v>
      </c>
      <c r="B12" s="89" t="s">
        <v>163</v>
      </c>
      <c r="C12" s="6" t="s">
        <v>151</v>
      </c>
      <c r="D12" s="5">
        <v>20</v>
      </c>
      <c r="E12" s="5">
        <v>8</v>
      </c>
      <c r="F12" s="30">
        <v>12</v>
      </c>
      <c r="G12" s="9" t="s">
        <v>152</v>
      </c>
      <c r="H12" s="104">
        <v>880000</v>
      </c>
      <c r="I12" s="106">
        <v>800000</v>
      </c>
      <c r="J12" s="31">
        <v>40000</v>
      </c>
      <c r="K12" s="74">
        <v>0.4</v>
      </c>
      <c r="L12" s="105">
        <v>12000</v>
      </c>
      <c r="M12" s="20">
        <v>8</v>
      </c>
      <c r="N12" s="71">
        <f t="shared" si="0"/>
        <v>96000</v>
      </c>
      <c r="O12" s="55"/>
      <c r="P12" s="55"/>
      <c r="Q12" s="56"/>
      <c r="R12" s="62">
        <f t="shared" si="1"/>
        <v>0</v>
      </c>
      <c r="Y12" s="4"/>
    </row>
    <row r="13" spans="1:25" ht="18.75" customHeight="1" thickTop="1" thickBot="1" x14ac:dyDescent="0.35">
      <c r="A13" s="9">
        <v>10</v>
      </c>
      <c r="B13" s="89"/>
      <c r="C13" s="6"/>
      <c r="D13" s="5"/>
      <c r="E13" s="5"/>
      <c r="F13" s="30"/>
      <c r="G13" s="9"/>
      <c r="H13" s="65"/>
      <c r="I13" s="62"/>
      <c r="J13" s="31"/>
      <c r="K13" s="74"/>
      <c r="L13" s="69"/>
      <c r="M13" s="20"/>
      <c r="N13" s="71">
        <f t="shared" si="0"/>
        <v>0</v>
      </c>
      <c r="O13" s="55"/>
      <c r="P13" s="55"/>
      <c r="Q13" s="56"/>
      <c r="R13" s="62">
        <f t="shared" si="1"/>
        <v>0</v>
      </c>
      <c r="S13" s="25"/>
      <c r="U13" s="26"/>
      <c r="V13" s="26"/>
      <c r="Y13" s="4"/>
    </row>
    <row r="14" spans="1:25" ht="18.75" customHeight="1" thickTop="1" thickBot="1" x14ac:dyDescent="0.35">
      <c r="A14" s="9">
        <v>11</v>
      </c>
      <c r="B14" s="89"/>
      <c r="C14" s="6"/>
      <c r="D14" s="5"/>
      <c r="E14" s="5"/>
      <c r="F14" s="30"/>
      <c r="G14" s="9"/>
      <c r="H14" s="65"/>
      <c r="I14" s="62"/>
      <c r="J14" s="31"/>
      <c r="K14" s="74"/>
      <c r="L14" s="69"/>
      <c r="M14" s="20"/>
      <c r="N14" s="71">
        <f t="shared" si="0"/>
        <v>0</v>
      </c>
      <c r="O14" s="55"/>
      <c r="P14" s="55"/>
      <c r="Q14" s="56"/>
      <c r="R14" s="62">
        <f t="shared" si="1"/>
        <v>0</v>
      </c>
      <c r="S14" s="25"/>
      <c r="U14" s="26"/>
      <c r="Y14" s="4"/>
    </row>
    <row r="15" spans="1:25" ht="18.75" customHeight="1" thickTop="1" thickBot="1" x14ac:dyDescent="0.35">
      <c r="A15" s="9">
        <v>12</v>
      </c>
      <c r="B15" s="93"/>
      <c r="C15" s="6"/>
      <c r="D15" s="5"/>
      <c r="E15" s="5"/>
      <c r="F15" s="30"/>
      <c r="G15" s="9"/>
      <c r="H15" s="65"/>
      <c r="I15" s="62"/>
      <c r="J15" s="31"/>
      <c r="K15" s="74"/>
      <c r="L15" s="69"/>
      <c r="M15" s="20"/>
      <c r="N15" s="71">
        <f t="shared" si="0"/>
        <v>0</v>
      </c>
      <c r="O15" s="55"/>
      <c r="P15" s="55"/>
      <c r="Q15" s="56"/>
      <c r="R15" s="62">
        <f t="shared" si="1"/>
        <v>0</v>
      </c>
      <c r="S15" s="25"/>
      <c r="U15" s="26"/>
      <c r="V15" s="26"/>
      <c r="Y15" s="4"/>
    </row>
    <row r="16" spans="1:25" ht="18.75" customHeight="1" thickTop="1" thickBot="1" x14ac:dyDescent="0.35">
      <c r="A16" s="9">
        <v>13</v>
      </c>
      <c r="B16" s="93"/>
      <c r="C16" s="6"/>
      <c r="D16" s="5"/>
      <c r="E16" s="5"/>
      <c r="F16" s="30">
        <f t="shared" ref="F16:F45" si="2">D16-E16</f>
        <v>0</v>
      </c>
      <c r="G16" s="9"/>
      <c r="H16" s="65"/>
      <c r="I16" s="62">
        <f t="shared" ref="I16:I45" si="3">IF(G16="현금",H16,H16/1.1)</f>
        <v>0</v>
      </c>
      <c r="J16" s="31" t="e">
        <f t="shared" ref="J16:J45" si="4">I16/D16</f>
        <v>#DIV/0!</v>
      </c>
      <c r="K16" s="74">
        <v>0.4</v>
      </c>
      <c r="L16" s="69" t="e">
        <f t="shared" ref="L16:L45" si="5">PRODUCT(K16,J16)</f>
        <v>#DIV/0!</v>
      </c>
      <c r="M16" s="20">
        <v>0</v>
      </c>
      <c r="N16" s="71" t="e">
        <f t="shared" ref="N16:N45" si="6">PRODUCT(M16,L16)</f>
        <v>#DIV/0!</v>
      </c>
      <c r="O16" s="55"/>
      <c r="P16" s="55"/>
      <c r="Q16" s="56"/>
      <c r="R16" s="62">
        <f t="shared" si="1"/>
        <v>0</v>
      </c>
      <c r="S16" s="25"/>
      <c r="U16" s="26"/>
      <c r="Y16" s="4"/>
    </row>
    <row r="17" spans="1:25" ht="18.75" customHeight="1" thickTop="1" thickBot="1" x14ac:dyDescent="0.35">
      <c r="A17" s="9">
        <v>14</v>
      </c>
      <c r="B17" s="18"/>
      <c r="C17" s="6"/>
      <c r="D17" s="5"/>
      <c r="E17" s="5"/>
      <c r="F17" s="30">
        <f t="shared" si="2"/>
        <v>0</v>
      </c>
      <c r="G17" s="9"/>
      <c r="H17" s="65"/>
      <c r="I17" s="62">
        <f t="shared" si="3"/>
        <v>0</v>
      </c>
      <c r="J17" s="31" t="e">
        <f t="shared" si="4"/>
        <v>#DIV/0!</v>
      </c>
      <c r="K17" s="75">
        <v>0.3</v>
      </c>
      <c r="L17" s="69" t="e">
        <f t="shared" si="5"/>
        <v>#DIV/0!</v>
      </c>
      <c r="M17" s="20"/>
      <c r="N17" s="71" t="e">
        <f t="shared" si="6"/>
        <v>#DIV/0!</v>
      </c>
      <c r="O17" s="55"/>
      <c r="P17" s="55"/>
      <c r="Q17" s="56"/>
      <c r="R17" s="62">
        <f t="shared" si="1"/>
        <v>0</v>
      </c>
      <c r="S17" s="25"/>
      <c r="U17" s="26"/>
      <c r="V17" s="26"/>
      <c r="Y17" s="4"/>
    </row>
    <row r="18" spans="1:25" ht="18.75" customHeight="1" thickTop="1" thickBot="1" x14ac:dyDescent="0.35">
      <c r="A18" s="9">
        <v>15</v>
      </c>
      <c r="B18" s="16"/>
      <c r="C18" s="6"/>
      <c r="D18" s="5"/>
      <c r="E18" s="5"/>
      <c r="F18" s="30">
        <f t="shared" si="2"/>
        <v>0</v>
      </c>
      <c r="G18" s="9"/>
      <c r="H18" s="65"/>
      <c r="I18" s="62">
        <f t="shared" si="3"/>
        <v>0</v>
      </c>
      <c r="J18" s="31" t="e">
        <f t="shared" si="4"/>
        <v>#DIV/0!</v>
      </c>
      <c r="K18" s="75">
        <v>0.3</v>
      </c>
      <c r="L18" s="69" t="e">
        <f t="shared" si="5"/>
        <v>#DIV/0!</v>
      </c>
      <c r="M18" s="20"/>
      <c r="N18" s="71" t="e">
        <f t="shared" si="6"/>
        <v>#DIV/0!</v>
      </c>
      <c r="O18" s="55"/>
      <c r="P18" s="55"/>
      <c r="Q18" s="56"/>
      <c r="R18" s="62">
        <f t="shared" si="1"/>
        <v>0</v>
      </c>
      <c r="S18" s="25"/>
      <c r="U18" s="26"/>
      <c r="V18" s="26"/>
      <c r="Y18" s="4"/>
    </row>
    <row r="19" spans="1:25" ht="18.75" customHeight="1" thickTop="1" thickBot="1" x14ac:dyDescent="0.35">
      <c r="A19" s="9">
        <v>16</v>
      </c>
      <c r="B19" s="17"/>
      <c r="C19" s="6"/>
      <c r="D19" s="5"/>
      <c r="E19" s="5"/>
      <c r="F19" s="30">
        <f t="shared" si="2"/>
        <v>0</v>
      </c>
      <c r="G19" s="9"/>
      <c r="H19" s="65"/>
      <c r="I19" s="62">
        <f t="shared" si="3"/>
        <v>0</v>
      </c>
      <c r="J19" s="31" t="e">
        <f t="shared" si="4"/>
        <v>#DIV/0!</v>
      </c>
      <c r="K19" s="75">
        <v>0.3</v>
      </c>
      <c r="L19" s="69" t="e">
        <f t="shared" si="5"/>
        <v>#DIV/0!</v>
      </c>
      <c r="M19" s="20"/>
      <c r="N19" s="71" t="e">
        <f t="shared" si="6"/>
        <v>#DIV/0!</v>
      </c>
      <c r="O19" s="55"/>
      <c r="P19" s="56"/>
      <c r="Q19" s="56"/>
      <c r="R19" s="62">
        <f t="shared" si="1"/>
        <v>0</v>
      </c>
      <c r="S19" s="25"/>
      <c r="U19" s="26"/>
      <c r="Y19" s="4"/>
    </row>
    <row r="20" spans="1:25" ht="18.75" customHeight="1" thickTop="1" thickBot="1" x14ac:dyDescent="0.35">
      <c r="A20" s="9">
        <v>17</v>
      </c>
      <c r="B20" s="17"/>
      <c r="C20" s="6"/>
      <c r="D20" s="5"/>
      <c r="E20" s="5"/>
      <c r="F20" s="30">
        <f t="shared" si="2"/>
        <v>0</v>
      </c>
      <c r="G20" s="9"/>
      <c r="H20" s="65"/>
      <c r="I20" s="62">
        <f t="shared" si="3"/>
        <v>0</v>
      </c>
      <c r="J20" s="31" t="e">
        <f t="shared" si="4"/>
        <v>#DIV/0!</v>
      </c>
      <c r="K20" s="75">
        <v>0.3</v>
      </c>
      <c r="L20" s="69" t="e">
        <f t="shared" si="5"/>
        <v>#DIV/0!</v>
      </c>
      <c r="M20" s="20"/>
      <c r="N20" s="71" t="e">
        <f t="shared" si="6"/>
        <v>#DIV/0!</v>
      </c>
      <c r="O20" s="55"/>
      <c r="P20" s="56"/>
      <c r="Q20" s="56"/>
      <c r="R20" s="62">
        <f t="shared" si="1"/>
        <v>0</v>
      </c>
      <c r="S20" s="25"/>
      <c r="U20" s="26"/>
      <c r="V20" s="26"/>
      <c r="Y20" s="4"/>
    </row>
    <row r="21" spans="1:25" ht="18.75" customHeight="1" thickTop="1" thickBot="1" x14ac:dyDescent="0.35">
      <c r="A21" s="9">
        <v>18</v>
      </c>
      <c r="B21" s="17"/>
      <c r="C21" s="6"/>
      <c r="D21" s="5"/>
      <c r="E21" s="5"/>
      <c r="F21" s="30">
        <f t="shared" si="2"/>
        <v>0</v>
      </c>
      <c r="G21" s="9"/>
      <c r="H21" s="65"/>
      <c r="I21" s="62">
        <f t="shared" si="3"/>
        <v>0</v>
      </c>
      <c r="J21" s="31" t="e">
        <f t="shared" si="4"/>
        <v>#DIV/0!</v>
      </c>
      <c r="K21" s="75">
        <v>0.3</v>
      </c>
      <c r="L21" s="69" t="e">
        <f t="shared" si="5"/>
        <v>#DIV/0!</v>
      </c>
      <c r="M21" s="20"/>
      <c r="N21" s="71" t="e">
        <f t="shared" si="6"/>
        <v>#DIV/0!</v>
      </c>
      <c r="O21" s="55"/>
      <c r="P21" s="56"/>
      <c r="Q21" s="56"/>
      <c r="R21" s="62">
        <f t="shared" si="1"/>
        <v>0</v>
      </c>
      <c r="S21" s="25"/>
      <c r="U21" s="26"/>
      <c r="V21" s="26"/>
      <c r="Y21" s="4"/>
    </row>
    <row r="22" spans="1:25" ht="18.75" customHeight="1" thickTop="1" thickBot="1" x14ac:dyDescent="0.35">
      <c r="A22" s="9">
        <v>19</v>
      </c>
      <c r="B22" s="15"/>
      <c r="C22" s="6"/>
      <c r="D22" s="5"/>
      <c r="E22" s="5"/>
      <c r="F22" s="30">
        <f t="shared" si="2"/>
        <v>0</v>
      </c>
      <c r="G22" s="9"/>
      <c r="H22" s="65"/>
      <c r="I22" s="62">
        <f t="shared" si="3"/>
        <v>0</v>
      </c>
      <c r="J22" s="31" t="e">
        <f t="shared" si="4"/>
        <v>#DIV/0!</v>
      </c>
      <c r="K22" s="75">
        <v>0.3</v>
      </c>
      <c r="L22" s="69" t="e">
        <f t="shared" si="5"/>
        <v>#DIV/0!</v>
      </c>
      <c r="M22" s="20"/>
      <c r="N22" s="71" t="e">
        <f t="shared" si="6"/>
        <v>#DIV/0!</v>
      </c>
      <c r="O22" s="55"/>
      <c r="P22" s="56"/>
      <c r="Q22" s="56"/>
      <c r="R22" s="62">
        <f t="shared" si="1"/>
        <v>0</v>
      </c>
      <c r="S22" s="25"/>
      <c r="T22" s="27"/>
      <c r="U22" s="26"/>
      <c r="V22" s="26"/>
      <c r="Y22" s="4"/>
    </row>
    <row r="23" spans="1:25" ht="18.75" customHeight="1" thickTop="1" thickBot="1" x14ac:dyDescent="0.35">
      <c r="A23" s="9">
        <v>20</v>
      </c>
      <c r="B23" s="17"/>
      <c r="C23" s="6"/>
      <c r="D23" s="5"/>
      <c r="E23" s="5"/>
      <c r="F23" s="30">
        <f t="shared" si="2"/>
        <v>0</v>
      </c>
      <c r="G23" s="9"/>
      <c r="H23" s="65"/>
      <c r="I23" s="62">
        <f t="shared" si="3"/>
        <v>0</v>
      </c>
      <c r="J23" s="31" t="e">
        <f t="shared" si="4"/>
        <v>#DIV/0!</v>
      </c>
      <c r="K23" s="75">
        <v>0.3</v>
      </c>
      <c r="L23" s="69" t="e">
        <f t="shared" si="5"/>
        <v>#DIV/0!</v>
      </c>
      <c r="M23" s="20"/>
      <c r="N23" s="71" t="e">
        <f t="shared" si="6"/>
        <v>#DIV/0!</v>
      </c>
      <c r="O23" s="58"/>
      <c r="P23" s="59"/>
      <c r="Q23" s="42"/>
      <c r="R23" s="62">
        <f t="shared" si="1"/>
        <v>0</v>
      </c>
      <c r="S23" s="25"/>
      <c r="T23" s="28"/>
      <c r="U23" s="26"/>
    </row>
    <row r="24" spans="1:25" ht="18.75" customHeight="1" thickTop="1" thickBot="1" x14ac:dyDescent="0.35">
      <c r="A24" s="9">
        <v>21</v>
      </c>
      <c r="B24" s="14"/>
      <c r="C24" s="6"/>
      <c r="D24" s="5"/>
      <c r="E24" s="5"/>
      <c r="F24" s="30">
        <f t="shared" si="2"/>
        <v>0</v>
      </c>
      <c r="G24" s="9"/>
      <c r="H24" s="65"/>
      <c r="I24" s="62">
        <f t="shared" si="3"/>
        <v>0</v>
      </c>
      <c r="J24" s="31" t="e">
        <f t="shared" si="4"/>
        <v>#DIV/0!</v>
      </c>
      <c r="K24" s="75">
        <v>0.3</v>
      </c>
      <c r="L24" s="69" t="e">
        <f t="shared" si="5"/>
        <v>#DIV/0!</v>
      </c>
      <c r="M24" s="20"/>
      <c r="N24" s="71" t="e">
        <f t="shared" si="6"/>
        <v>#DIV/0!</v>
      </c>
      <c r="O24" s="60"/>
      <c r="P24" s="60"/>
      <c r="Q24" s="42"/>
      <c r="R24" s="62">
        <f t="shared" si="1"/>
        <v>0</v>
      </c>
      <c r="S24" s="25"/>
      <c r="T24" s="29"/>
      <c r="U24" s="26"/>
    </row>
    <row r="25" spans="1:25" ht="18.75" customHeight="1" thickTop="1" thickBot="1" x14ac:dyDescent="0.35">
      <c r="A25" s="9">
        <v>22</v>
      </c>
      <c r="B25" s="12"/>
      <c r="C25" s="6"/>
      <c r="D25" s="5"/>
      <c r="E25" s="5"/>
      <c r="F25" s="30">
        <f t="shared" si="2"/>
        <v>0</v>
      </c>
      <c r="G25" s="9"/>
      <c r="H25" s="65"/>
      <c r="I25" s="62">
        <f t="shared" si="3"/>
        <v>0</v>
      </c>
      <c r="J25" s="31" t="e">
        <f t="shared" si="4"/>
        <v>#DIV/0!</v>
      </c>
      <c r="K25" s="75">
        <v>0.3</v>
      </c>
      <c r="L25" s="69" t="e">
        <f t="shared" si="5"/>
        <v>#DIV/0!</v>
      </c>
      <c r="M25" s="20"/>
      <c r="N25" s="71" t="e">
        <f t="shared" si="6"/>
        <v>#DIV/0!</v>
      </c>
      <c r="O25" s="60"/>
      <c r="P25" s="60"/>
      <c r="Q25" s="42"/>
      <c r="R25" s="62">
        <f t="shared" si="1"/>
        <v>0</v>
      </c>
      <c r="S25" s="25"/>
      <c r="T25" s="28"/>
      <c r="U25" s="26"/>
    </row>
    <row r="26" spans="1:25" ht="18.75" customHeight="1" thickTop="1" thickBot="1" x14ac:dyDescent="0.35">
      <c r="A26" s="9">
        <v>23</v>
      </c>
      <c r="B26" s="14"/>
      <c r="C26" s="6"/>
      <c r="D26" s="6"/>
      <c r="E26" s="6"/>
      <c r="F26" s="30">
        <f t="shared" si="2"/>
        <v>0</v>
      </c>
      <c r="G26" s="9"/>
      <c r="H26" s="65"/>
      <c r="I26" s="62">
        <f t="shared" si="3"/>
        <v>0</v>
      </c>
      <c r="J26" s="31" t="e">
        <f t="shared" si="4"/>
        <v>#DIV/0!</v>
      </c>
      <c r="K26" s="75">
        <v>0.3</v>
      </c>
      <c r="L26" s="69" t="e">
        <f t="shared" si="5"/>
        <v>#DIV/0!</v>
      </c>
      <c r="M26" s="13"/>
      <c r="N26" s="71" t="e">
        <f t="shared" si="6"/>
        <v>#DIV/0!</v>
      </c>
      <c r="O26" s="60"/>
      <c r="P26" s="60"/>
      <c r="Q26" s="42"/>
      <c r="R26" s="62">
        <f t="shared" si="1"/>
        <v>0</v>
      </c>
      <c r="S26" s="25"/>
      <c r="U26" s="26"/>
    </row>
    <row r="27" spans="1:25" ht="18.75" customHeight="1" thickTop="1" thickBot="1" x14ac:dyDescent="0.35">
      <c r="A27" s="9">
        <v>24</v>
      </c>
      <c r="B27" s="12"/>
      <c r="C27" s="6"/>
      <c r="D27" s="6"/>
      <c r="E27" s="6"/>
      <c r="F27" s="30">
        <f t="shared" si="2"/>
        <v>0</v>
      </c>
      <c r="G27" s="9"/>
      <c r="H27" s="65"/>
      <c r="I27" s="62">
        <f t="shared" si="3"/>
        <v>0</v>
      </c>
      <c r="J27" s="31" t="e">
        <f t="shared" si="4"/>
        <v>#DIV/0!</v>
      </c>
      <c r="K27" s="75">
        <v>0.3</v>
      </c>
      <c r="L27" s="69" t="e">
        <f t="shared" si="5"/>
        <v>#DIV/0!</v>
      </c>
      <c r="M27" s="13"/>
      <c r="N27" s="71" t="e">
        <f t="shared" si="6"/>
        <v>#DIV/0!</v>
      </c>
      <c r="O27" s="60"/>
      <c r="P27" s="60"/>
      <c r="Q27" s="42"/>
      <c r="R27" s="62">
        <f t="shared" si="1"/>
        <v>0</v>
      </c>
      <c r="S27" s="25"/>
      <c r="U27" s="26"/>
    </row>
    <row r="28" spans="1:25" ht="18.75" customHeight="1" thickTop="1" thickBot="1" x14ac:dyDescent="0.35">
      <c r="A28" s="9">
        <v>25</v>
      </c>
      <c r="B28" s="12"/>
      <c r="C28" s="6"/>
      <c r="D28" s="11"/>
      <c r="E28" s="11"/>
      <c r="F28" s="30">
        <f t="shared" si="2"/>
        <v>0</v>
      </c>
      <c r="G28" s="9"/>
      <c r="H28" s="65"/>
      <c r="I28" s="62">
        <f t="shared" si="3"/>
        <v>0</v>
      </c>
      <c r="J28" s="31" t="e">
        <f t="shared" si="4"/>
        <v>#DIV/0!</v>
      </c>
      <c r="K28" s="75">
        <v>0.3</v>
      </c>
      <c r="L28" s="69" t="e">
        <f t="shared" si="5"/>
        <v>#DIV/0!</v>
      </c>
      <c r="M28" s="13"/>
      <c r="N28" s="71" t="e">
        <f t="shared" si="6"/>
        <v>#DIV/0!</v>
      </c>
      <c r="O28" s="111" t="s">
        <v>18</v>
      </c>
      <c r="P28" s="111"/>
      <c r="Q28" s="111"/>
      <c r="R28" s="63">
        <f>SUM(Q5:Q27)</f>
        <v>2640000</v>
      </c>
      <c r="S28" s="25"/>
      <c r="U28" s="26"/>
    </row>
    <row r="29" spans="1:25" ht="18.75" customHeight="1" thickTop="1" thickBot="1" x14ac:dyDescent="0.35">
      <c r="A29" s="9">
        <v>26</v>
      </c>
      <c r="B29" s="12"/>
      <c r="C29" s="6"/>
      <c r="D29" s="6"/>
      <c r="E29" s="6"/>
      <c r="F29" s="30">
        <f t="shared" si="2"/>
        <v>0</v>
      </c>
      <c r="G29" s="9"/>
      <c r="H29" s="65"/>
      <c r="I29" s="62">
        <f t="shared" si="3"/>
        <v>0</v>
      </c>
      <c r="J29" s="31" t="e">
        <f t="shared" si="4"/>
        <v>#DIV/0!</v>
      </c>
      <c r="K29" s="75">
        <v>0.3</v>
      </c>
      <c r="L29" s="69" t="e">
        <f t="shared" si="5"/>
        <v>#DIV/0!</v>
      </c>
      <c r="M29" s="13"/>
      <c r="N29" s="71" t="e">
        <f t="shared" si="6"/>
        <v>#DIV/0!</v>
      </c>
      <c r="O29" s="111" t="s">
        <v>16</v>
      </c>
      <c r="P29" s="111"/>
      <c r="Q29" s="111"/>
      <c r="R29" s="61"/>
      <c r="S29" s="25"/>
      <c r="U29" s="26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30">
        <f t="shared" si="2"/>
        <v>0</v>
      </c>
      <c r="G30" s="9"/>
      <c r="H30" s="65"/>
      <c r="I30" s="62">
        <f t="shared" si="3"/>
        <v>0</v>
      </c>
      <c r="J30" s="31" t="e">
        <f t="shared" si="4"/>
        <v>#DIV/0!</v>
      </c>
      <c r="K30" s="75">
        <v>0.3</v>
      </c>
      <c r="L30" s="69" t="e">
        <f t="shared" si="5"/>
        <v>#DIV/0!</v>
      </c>
      <c r="M30" s="20"/>
      <c r="N30" s="71" t="e">
        <f t="shared" si="6"/>
        <v>#DIV/0!</v>
      </c>
      <c r="O30" s="111" t="s">
        <v>17</v>
      </c>
      <c r="P30" s="111"/>
      <c r="Q30" s="111"/>
      <c r="R30" s="61">
        <f>R29+R28</f>
        <v>2640000</v>
      </c>
      <c r="S30" s="25"/>
      <c r="U30" s="26"/>
    </row>
    <row r="31" spans="1:25" ht="18.75" customHeight="1" thickTop="1" thickBot="1" x14ac:dyDescent="0.35">
      <c r="A31" s="9">
        <v>28</v>
      </c>
      <c r="B31" s="21"/>
      <c r="C31" s="5"/>
      <c r="D31" s="5"/>
      <c r="E31" s="5"/>
      <c r="F31" s="30">
        <f t="shared" si="2"/>
        <v>0</v>
      </c>
      <c r="G31" s="9"/>
      <c r="H31" s="65"/>
      <c r="I31" s="62">
        <f t="shared" si="3"/>
        <v>0</v>
      </c>
      <c r="J31" s="31" t="e">
        <f t="shared" si="4"/>
        <v>#DIV/0!</v>
      </c>
      <c r="K31" s="75">
        <v>0.3</v>
      </c>
      <c r="L31" s="69" t="e">
        <f t="shared" si="5"/>
        <v>#DIV/0!</v>
      </c>
      <c r="M31" s="9"/>
      <c r="N31" s="71" t="e">
        <f t="shared" si="6"/>
        <v>#DIV/0!</v>
      </c>
      <c r="O31" s="113" t="s">
        <v>23</v>
      </c>
      <c r="P31" s="113"/>
      <c r="Q31" s="113"/>
      <c r="R31" s="115">
        <v>900000</v>
      </c>
      <c r="S31" s="25"/>
      <c r="T31" s="10"/>
      <c r="U31" s="112"/>
      <c r="V31" s="112"/>
      <c r="W31" s="112"/>
      <c r="X31" s="10"/>
    </row>
    <row r="32" spans="1:25" ht="18.75" customHeight="1" thickTop="1" thickBot="1" x14ac:dyDescent="0.35">
      <c r="A32" s="9">
        <v>29</v>
      </c>
      <c r="B32" s="22"/>
      <c r="C32" s="5"/>
      <c r="D32" s="23"/>
      <c r="E32" s="23"/>
      <c r="F32" s="30">
        <f t="shared" si="2"/>
        <v>0</v>
      </c>
      <c r="G32" s="9"/>
      <c r="H32" s="65"/>
      <c r="I32" s="62">
        <f t="shared" si="3"/>
        <v>0</v>
      </c>
      <c r="J32" s="31" t="e">
        <f t="shared" si="4"/>
        <v>#DIV/0!</v>
      </c>
      <c r="K32" s="75">
        <v>0.3</v>
      </c>
      <c r="L32" s="69" t="e">
        <f t="shared" si="5"/>
        <v>#DIV/0!</v>
      </c>
      <c r="M32" s="24"/>
      <c r="N32" s="71" t="e">
        <f t="shared" si="6"/>
        <v>#DIV/0!</v>
      </c>
      <c r="O32" s="113"/>
      <c r="P32" s="113"/>
      <c r="Q32" s="113"/>
      <c r="R32" s="115"/>
      <c r="S32" s="25"/>
      <c r="T32" s="10"/>
      <c r="U32" s="112"/>
      <c r="V32" s="112"/>
      <c r="W32" s="112"/>
      <c r="X32" s="10"/>
    </row>
    <row r="33" spans="1:26" ht="18.75" customHeight="1" thickTop="1" thickBot="1" x14ac:dyDescent="0.35">
      <c r="A33" s="9">
        <v>30</v>
      </c>
      <c r="B33" s="22"/>
      <c r="C33" s="5"/>
      <c r="D33" s="5"/>
      <c r="E33" s="5"/>
      <c r="F33" s="30">
        <f t="shared" si="2"/>
        <v>0</v>
      </c>
      <c r="G33" s="9"/>
      <c r="H33" s="65"/>
      <c r="I33" s="62">
        <f t="shared" si="3"/>
        <v>0</v>
      </c>
      <c r="J33" s="31" t="e">
        <f t="shared" si="4"/>
        <v>#DIV/0!</v>
      </c>
      <c r="K33" s="75">
        <v>0.3</v>
      </c>
      <c r="L33" s="69" t="e">
        <f t="shared" si="5"/>
        <v>#DIV/0!</v>
      </c>
      <c r="M33" s="24"/>
      <c r="N33" s="71" t="e">
        <f t="shared" si="6"/>
        <v>#DIV/0!</v>
      </c>
      <c r="O33" s="113" t="s">
        <v>24</v>
      </c>
      <c r="P33" s="113"/>
      <c r="Q33" s="113"/>
      <c r="R33" s="114">
        <f>SUMIF(N4:N45,"&gt;0",N4:N45)</f>
        <v>900000</v>
      </c>
      <c r="S33" s="25"/>
      <c r="T33" s="10"/>
      <c r="U33" s="112"/>
      <c r="V33" s="112"/>
      <c r="W33" s="112"/>
      <c r="X33" s="10"/>
    </row>
    <row r="34" spans="1:26" ht="18.75" customHeight="1" thickTop="1" thickBot="1" x14ac:dyDescent="0.35">
      <c r="A34" s="9">
        <v>31</v>
      </c>
      <c r="B34" s="21"/>
      <c r="C34" s="5"/>
      <c r="D34" s="5"/>
      <c r="E34" s="5"/>
      <c r="F34" s="30">
        <f t="shared" si="2"/>
        <v>0</v>
      </c>
      <c r="G34" s="9"/>
      <c r="H34" s="65"/>
      <c r="I34" s="62">
        <f t="shared" si="3"/>
        <v>0</v>
      </c>
      <c r="J34" s="31" t="e">
        <f t="shared" si="4"/>
        <v>#DIV/0!</v>
      </c>
      <c r="K34" s="75">
        <v>0.3</v>
      </c>
      <c r="L34" s="69" t="e">
        <f t="shared" si="5"/>
        <v>#DIV/0!</v>
      </c>
      <c r="M34" s="24"/>
      <c r="N34" s="71" t="e">
        <f t="shared" si="6"/>
        <v>#DIV/0!</v>
      </c>
      <c r="O34" s="113"/>
      <c r="P34" s="113"/>
      <c r="Q34" s="113"/>
      <c r="R34" s="114"/>
      <c r="S34" s="25"/>
      <c r="T34" s="10"/>
      <c r="U34" s="112"/>
      <c r="V34" s="112"/>
      <c r="W34" s="112"/>
      <c r="X34" s="10"/>
      <c r="Y34"/>
      <c r="Z34"/>
    </row>
    <row r="35" spans="1:26" ht="18.75" customHeight="1" thickTop="1" thickBot="1" x14ac:dyDescent="0.35">
      <c r="A35" s="9">
        <v>32</v>
      </c>
      <c r="B35" s="21"/>
      <c r="C35" s="5"/>
      <c r="D35" s="23"/>
      <c r="E35" s="23"/>
      <c r="F35" s="30">
        <f t="shared" si="2"/>
        <v>0</v>
      </c>
      <c r="G35" s="9"/>
      <c r="H35" s="66"/>
      <c r="I35" s="62">
        <f t="shared" si="3"/>
        <v>0</v>
      </c>
      <c r="J35" s="31" t="e">
        <f t="shared" si="4"/>
        <v>#DIV/0!</v>
      </c>
      <c r="K35" s="75">
        <v>0.3</v>
      </c>
      <c r="L35" s="69" t="e">
        <f t="shared" si="5"/>
        <v>#DIV/0!</v>
      </c>
      <c r="M35" s="24"/>
      <c r="N35" s="71" t="e">
        <f t="shared" si="6"/>
        <v>#DIV/0!</v>
      </c>
      <c r="O35" s="113" t="s">
        <v>22</v>
      </c>
      <c r="P35" s="113"/>
      <c r="Q35" s="113"/>
      <c r="R35" s="118">
        <f>R31+R33</f>
        <v>1800000</v>
      </c>
      <c r="X35"/>
    </row>
    <row r="36" spans="1:26" ht="18.75" customHeight="1" thickTop="1" thickBot="1" x14ac:dyDescent="0.35">
      <c r="A36" s="9">
        <v>33</v>
      </c>
      <c r="B36" s="21"/>
      <c r="C36" s="5"/>
      <c r="D36" s="5"/>
      <c r="E36" s="5"/>
      <c r="F36" s="30">
        <f t="shared" si="2"/>
        <v>0</v>
      </c>
      <c r="G36" s="9"/>
      <c r="H36" s="65"/>
      <c r="I36" s="62">
        <f t="shared" si="3"/>
        <v>0</v>
      </c>
      <c r="J36" s="31" t="e">
        <f t="shared" si="4"/>
        <v>#DIV/0!</v>
      </c>
      <c r="K36" s="75">
        <v>0.3</v>
      </c>
      <c r="L36" s="69" t="e">
        <f t="shared" si="5"/>
        <v>#DIV/0!</v>
      </c>
      <c r="M36" s="24"/>
      <c r="N36" s="71" t="e">
        <f t="shared" si="6"/>
        <v>#DIV/0!</v>
      </c>
      <c r="O36" s="113"/>
      <c r="P36" s="113"/>
      <c r="Q36" s="113"/>
      <c r="R36" s="118"/>
      <c r="X36"/>
      <c r="Y36"/>
      <c r="Z36"/>
    </row>
    <row r="37" spans="1:26" ht="18.75" customHeight="1" thickTop="1" thickBot="1" x14ac:dyDescent="0.35">
      <c r="A37" s="9">
        <v>34</v>
      </c>
      <c r="B37" s="19"/>
      <c r="C37" s="5"/>
      <c r="D37" s="23"/>
      <c r="E37" s="23"/>
      <c r="F37" s="30">
        <f t="shared" si="2"/>
        <v>0</v>
      </c>
      <c r="G37" s="9"/>
      <c r="H37" s="66"/>
      <c r="I37" s="62">
        <f t="shared" si="3"/>
        <v>0</v>
      </c>
      <c r="J37" s="31" t="e">
        <f t="shared" si="4"/>
        <v>#DIV/0!</v>
      </c>
      <c r="K37" s="75">
        <v>0.3</v>
      </c>
      <c r="L37" s="69" t="e">
        <f t="shared" si="5"/>
        <v>#DIV/0!</v>
      </c>
      <c r="M37" s="24"/>
      <c r="N37" s="71" t="e">
        <f t="shared" si="6"/>
        <v>#DIV/0!</v>
      </c>
      <c r="O37" s="117" t="s">
        <v>107</v>
      </c>
      <c r="P37" s="117"/>
      <c r="Q37" s="117"/>
      <c r="R37" s="117"/>
      <c r="S37"/>
      <c r="X37"/>
      <c r="Y37"/>
      <c r="Z37"/>
    </row>
    <row r="38" spans="1:26" ht="18.75" customHeight="1" thickTop="1" thickBot="1" x14ac:dyDescent="0.35">
      <c r="A38" s="9">
        <v>35</v>
      </c>
      <c r="B38" s="19"/>
      <c r="C38" s="8"/>
      <c r="D38" s="8"/>
      <c r="E38" s="8"/>
      <c r="F38" s="30">
        <f t="shared" si="2"/>
        <v>0</v>
      </c>
      <c r="G38" s="9"/>
      <c r="H38" s="66"/>
      <c r="I38" s="62">
        <f t="shared" si="3"/>
        <v>0</v>
      </c>
      <c r="J38" s="31" t="e">
        <f t="shared" si="4"/>
        <v>#DIV/0!</v>
      </c>
      <c r="K38" s="75">
        <v>0.3</v>
      </c>
      <c r="L38" s="69" t="e">
        <f t="shared" si="5"/>
        <v>#DIV/0!</v>
      </c>
      <c r="M38" s="24"/>
      <c r="N38" s="71" t="e">
        <f t="shared" si="6"/>
        <v>#DIV/0!</v>
      </c>
      <c r="O38" s="117" t="s">
        <v>108</v>
      </c>
      <c r="P38" s="117"/>
      <c r="Q38" s="117"/>
      <c r="R38" s="117"/>
      <c r="S38"/>
      <c r="X38"/>
      <c r="Y38"/>
      <c r="Z38"/>
    </row>
    <row r="39" spans="1:26" ht="18.75" customHeight="1" thickTop="1" thickBot="1" x14ac:dyDescent="0.35">
      <c r="A39" s="9">
        <v>36</v>
      </c>
      <c r="B39" s="19"/>
      <c r="C39" s="8"/>
      <c r="D39" s="8"/>
      <c r="E39" s="8"/>
      <c r="F39" s="30">
        <f t="shared" si="2"/>
        <v>0</v>
      </c>
      <c r="G39" s="9"/>
      <c r="H39" s="67"/>
      <c r="I39" s="62">
        <f t="shared" si="3"/>
        <v>0</v>
      </c>
      <c r="J39" s="31" t="e">
        <f t="shared" si="4"/>
        <v>#DIV/0!</v>
      </c>
      <c r="K39" s="75">
        <v>0.3</v>
      </c>
      <c r="L39" s="69" t="e">
        <f t="shared" si="5"/>
        <v>#DIV/0!</v>
      </c>
      <c r="M39" s="24"/>
      <c r="N39" s="71" t="e">
        <f t="shared" si="6"/>
        <v>#DIV/0!</v>
      </c>
      <c r="O39" s="117" t="s">
        <v>109</v>
      </c>
      <c r="P39" s="117"/>
      <c r="Q39" s="117"/>
      <c r="R39" s="117"/>
      <c r="S39"/>
      <c r="X39"/>
      <c r="Y39"/>
      <c r="Z39"/>
    </row>
    <row r="40" spans="1:26" ht="18.75" customHeight="1" thickTop="1" thickBot="1" x14ac:dyDescent="0.35">
      <c r="A40" s="9">
        <v>37</v>
      </c>
      <c r="B40" s="19"/>
      <c r="C40" s="8"/>
      <c r="D40" s="8"/>
      <c r="E40" s="8"/>
      <c r="F40" s="30">
        <f t="shared" si="2"/>
        <v>0</v>
      </c>
      <c r="G40" s="9"/>
      <c r="H40" s="67"/>
      <c r="I40" s="62">
        <f t="shared" si="3"/>
        <v>0</v>
      </c>
      <c r="J40" s="31" t="e">
        <f t="shared" si="4"/>
        <v>#DIV/0!</v>
      </c>
      <c r="K40" s="75">
        <v>0.3</v>
      </c>
      <c r="L40" s="69" t="e">
        <f t="shared" si="5"/>
        <v>#DIV/0!</v>
      </c>
      <c r="M40" s="24"/>
      <c r="N40" s="71" t="e">
        <f t="shared" si="6"/>
        <v>#DIV/0!</v>
      </c>
      <c r="O40" s="117" t="s">
        <v>110</v>
      </c>
      <c r="P40" s="117"/>
      <c r="Q40" s="117"/>
      <c r="R40" s="117"/>
      <c r="S40"/>
      <c r="X40"/>
      <c r="Y40"/>
      <c r="Z40"/>
    </row>
    <row r="41" spans="1:26" ht="18.75" customHeight="1" thickTop="1" thickBot="1" x14ac:dyDescent="0.35">
      <c r="A41" s="9">
        <v>38</v>
      </c>
      <c r="B41" s="19"/>
      <c r="C41" s="3"/>
      <c r="D41" s="8"/>
      <c r="E41" s="8"/>
      <c r="F41" s="30">
        <f t="shared" si="2"/>
        <v>0</v>
      </c>
      <c r="G41" s="9"/>
      <c r="H41" s="67"/>
      <c r="I41" s="62">
        <f t="shared" si="3"/>
        <v>0</v>
      </c>
      <c r="J41" s="31" t="e">
        <f t="shared" si="4"/>
        <v>#DIV/0!</v>
      </c>
      <c r="K41" s="75">
        <v>0.3</v>
      </c>
      <c r="L41" s="69" t="e">
        <f t="shared" si="5"/>
        <v>#DIV/0!</v>
      </c>
      <c r="M41" s="24"/>
      <c r="N41" s="71" t="e">
        <f t="shared" si="6"/>
        <v>#DIV/0!</v>
      </c>
      <c r="O41" s="117" t="s">
        <v>111</v>
      </c>
      <c r="P41" s="117"/>
      <c r="Q41" s="117"/>
      <c r="R41" s="117"/>
      <c r="S41"/>
      <c r="X41"/>
      <c r="Y41"/>
      <c r="Z41"/>
    </row>
    <row r="42" spans="1:26" ht="18.75" customHeight="1" thickTop="1" thickBot="1" x14ac:dyDescent="0.35">
      <c r="A42" s="9">
        <v>39</v>
      </c>
      <c r="B42" s="19"/>
      <c r="C42" s="8"/>
      <c r="D42" s="8"/>
      <c r="E42" s="8"/>
      <c r="F42" s="30">
        <f t="shared" si="2"/>
        <v>0</v>
      </c>
      <c r="G42" s="9"/>
      <c r="H42" s="67"/>
      <c r="I42" s="62">
        <f t="shared" si="3"/>
        <v>0</v>
      </c>
      <c r="J42" s="31" t="e">
        <f t="shared" si="4"/>
        <v>#DIV/0!</v>
      </c>
      <c r="K42" s="75">
        <v>0.3</v>
      </c>
      <c r="L42" s="69" t="e">
        <f t="shared" si="5"/>
        <v>#DIV/0!</v>
      </c>
      <c r="M42" s="24"/>
      <c r="N42" s="71" t="e">
        <f t="shared" si="6"/>
        <v>#DIV/0!</v>
      </c>
      <c r="O42" s="117" t="s">
        <v>112</v>
      </c>
      <c r="P42" s="117"/>
      <c r="Q42" s="117"/>
      <c r="R42" s="117"/>
      <c r="S42"/>
      <c r="X42"/>
      <c r="Y42"/>
      <c r="Z42"/>
    </row>
    <row r="43" spans="1:26" ht="18.75" customHeight="1" thickTop="1" thickBot="1" x14ac:dyDescent="0.35">
      <c r="A43" s="9">
        <v>40</v>
      </c>
      <c r="B43" s="19"/>
      <c r="C43" s="8"/>
      <c r="D43" s="8"/>
      <c r="E43" s="8"/>
      <c r="F43" s="30">
        <f t="shared" si="2"/>
        <v>0</v>
      </c>
      <c r="G43" s="9"/>
      <c r="H43" s="67"/>
      <c r="I43" s="62">
        <f t="shared" si="3"/>
        <v>0</v>
      </c>
      <c r="J43" s="31" t="e">
        <f t="shared" si="4"/>
        <v>#DIV/0!</v>
      </c>
      <c r="K43" s="75">
        <v>0.3</v>
      </c>
      <c r="L43" s="69" t="e">
        <f t="shared" si="5"/>
        <v>#DIV/0!</v>
      </c>
      <c r="M43" s="24"/>
      <c r="N43" s="71" t="e">
        <f t="shared" si="6"/>
        <v>#DIV/0!</v>
      </c>
      <c r="O43" s="117" t="s">
        <v>113</v>
      </c>
      <c r="P43" s="117"/>
      <c r="Q43" s="117"/>
      <c r="R43" s="117"/>
      <c r="S43"/>
      <c r="X43"/>
      <c r="Y43"/>
      <c r="Z43"/>
    </row>
    <row r="44" spans="1:26" ht="18.75" customHeight="1" thickTop="1" thickBot="1" x14ac:dyDescent="0.35">
      <c r="A44" s="9">
        <v>41</v>
      </c>
      <c r="B44" s="19"/>
      <c r="C44" s="8"/>
      <c r="D44" s="8"/>
      <c r="E44" s="8"/>
      <c r="F44" s="30">
        <f t="shared" si="2"/>
        <v>0</v>
      </c>
      <c r="G44" s="9"/>
      <c r="H44" s="67"/>
      <c r="I44" s="62">
        <f t="shared" si="3"/>
        <v>0</v>
      </c>
      <c r="J44" s="31" t="e">
        <f t="shared" si="4"/>
        <v>#DIV/0!</v>
      </c>
      <c r="K44" s="75">
        <v>0.3</v>
      </c>
      <c r="L44" s="69" t="e">
        <f t="shared" si="5"/>
        <v>#DIV/0!</v>
      </c>
      <c r="M44" s="24"/>
      <c r="N44" s="71" t="e">
        <f t="shared" si="6"/>
        <v>#DIV/0!</v>
      </c>
      <c r="O44" s="117" t="s">
        <v>114</v>
      </c>
      <c r="P44" s="117"/>
      <c r="Q44" s="117"/>
      <c r="R44" s="117"/>
      <c r="S44"/>
    </row>
    <row r="45" spans="1:26" ht="18.75" customHeight="1" thickTop="1" thickBot="1" x14ac:dyDescent="0.35">
      <c r="A45" s="9">
        <v>42</v>
      </c>
      <c r="B45" s="19"/>
      <c r="C45" s="8"/>
      <c r="D45" s="8"/>
      <c r="E45" s="8"/>
      <c r="F45" s="30">
        <f t="shared" si="2"/>
        <v>0</v>
      </c>
      <c r="G45" s="9"/>
      <c r="H45" s="67"/>
      <c r="I45" s="62">
        <f t="shared" si="3"/>
        <v>0</v>
      </c>
      <c r="J45" s="31" t="e">
        <f t="shared" si="4"/>
        <v>#DIV/0!</v>
      </c>
      <c r="K45" s="75">
        <v>0.3</v>
      </c>
      <c r="L45" s="69" t="e">
        <f t="shared" si="5"/>
        <v>#DIV/0!</v>
      </c>
      <c r="M45" s="24"/>
      <c r="N45" s="71" t="e">
        <f t="shared" si="6"/>
        <v>#DIV/0!</v>
      </c>
      <c r="O45" s="117" t="s">
        <v>115</v>
      </c>
      <c r="P45" s="117"/>
      <c r="Q45" s="117"/>
      <c r="R45" s="117"/>
      <c r="S45"/>
    </row>
    <row r="46" spans="1:26" ht="17.25" thickTop="1" x14ac:dyDescent="0.3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16"/>
      <c r="B48" s="7"/>
      <c r="C48" s="7"/>
      <c r="D48" s="7"/>
      <c r="E48" s="116"/>
      <c r="F48" s="116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116"/>
      <c r="B49" s="7"/>
      <c r="C49" s="7"/>
      <c r="D49" s="7"/>
      <c r="E49" s="116"/>
      <c r="F49" s="116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116"/>
      <c r="B53" s="116"/>
      <c r="C53" s="116"/>
      <c r="D53" s="116"/>
      <c r="E53" s="116"/>
      <c r="F53" s="116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16"/>
      <c r="B54" s="116"/>
      <c r="C54" s="7"/>
      <c r="D54" s="7"/>
      <c r="E54" s="116"/>
      <c r="F54" s="116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116"/>
      <c r="B55" s="7"/>
      <c r="C55" s="7"/>
      <c r="D55" s="7"/>
      <c r="E55" s="116"/>
      <c r="F55" s="116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116"/>
      <c r="B57" s="11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57:B57"/>
    <mergeCell ref="A48:A49"/>
    <mergeCell ref="E48:F48"/>
    <mergeCell ref="E49:F49"/>
    <mergeCell ref="A53:A55"/>
    <mergeCell ref="B53:B54"/>
    <mergeCell ref="C53:D53"/>
    <mergeCell ref="E53:F54"/>
    <mergeCell ref="E55:F55"/>
    <mergeCell ref="A46:N46"/>
    <mergeCell ref="O35:Q36"/>
    <mergeCell ref="R35:R36"/>
    <mergeCell ref="O37:R37"/>
    <mergeCell ref="O38:R38"/>
    <mergeCell ref="O39:R39"/>
    <mergeCell ref="O40:R40"/>
    <mergeCell ref="O41:R41"/>
    <mergeCell ref="O42:R42"/>
    <mergeCell ref="O43:R43"/>
    <mergeCell ref="O44:R44"/>
    <mergeCell ref="O45:R45"/>
    <mergeCell ref="U31:W31"/>
    <mergeCell ref="U32:W32"/>
    <mergeCell ref="O33:Q34"/>
    <mergeCell ref="R33:R34"/>
    <mergeCell ref="U33:W33"/>
    <mergeCell ref="U34:W34"/>
    <mergeCell ref="O31:Q32"/>
    <mergeCell ref="R31:R32"/>
    <mergeCell ref="A1:H2"/>
    <mergeCell ref="O3:R3"/>
    <mergeCell ref="O28:Q28"/>
    <mergeCell ref="O29:Q29"/>
    <mergeCell ref="O30:Q30"/>
  </mergeCells>
  <phoneticPr fontId="33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8A5C-14A5-4D68-83C7-10B0DCF48227}">
  <sheetPr>
    <pageSetUpPr fitToPage="1"/>
  </sheetPr>
  <dimension ref="A1:Z58"/>
  <sheetViews>
    <sheetView topLeftCell="A13" zoomScale="85" zoomScaleNormal="85" workbookViewId="0">
      <selection activeCell="O33" sqref="O33:Q34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08" t="s">
        <v>31</v>
      </c>
      <c r="B1" s="108"/>
      <c r="C1" s="108"/>
      <c r="D1" s="108"/>
      <c r="E1" s="108"/>
      <c r="F1" s="108"/>
      <c r="G1" s="108"/>
      <c r="H1" s="108"/>
      <c r="I1" s="39" t="s">
        <v>25</v>
      </c>
      <c r="J1" s="81" t="s">
        <v>102</v>
      </c>
      <c r="K1" s="38" t="s">
        <v>4</v>
      </c>
      <c r="L1" s="38" t="s">
        <v>2</v>
      </c>
      <c r="M1" s="38" t="s">
        <v>12</v>
      </c>
      <c r="N1" s="43" t="s">
        <v>27</v>
      </c>
      <c r="O1" s="43" t="s">
        <v>29</v>
      </c>
      <c r="P1" s="44" t="s">
        <v>30</v>
      </c>
      <c r="Q1" s="72" t="s">
        <v>34</v>
      </c>
      <c r="R1" s="43" t="s">
        <v>33</v>
      </c>
    </row>
    <row r="2" spans="1:25" ht="21.75" customHeight="1" thickTop="1" thickBot="1" x14ac:dyDescent="0.35">
      <c r="A2" s="109"/>
      <c r="B2" s="109"/>
      <c r="C2" s="109"/>
      <c r="D2" s="109"/>
      <c r="E2" s="109"/>
      <c r="F2" s="109"/>
      <c r="G2" s="109"/>
      <c r="H2" s="109"/>
      <c r="I2" s="39" t="s">
        <v>26</v>
      </c>
      <c r="J2" s="81" t="s">
        <v>142</v>
      </c>
      <c r="K2" s="45">
        <f>COUNTA(B4:B45)</f>
        <v>16</v>
      </c>
      <c r="L2" s="45">
        <f>COUNTIFS(C4:C45,"남")</f>
        <v>5</v>
      </c>
      <c r="M2" s="45">
        <f>COUNTIFS(C4:C45,"여")</f>
        <v>11</v>
      </c>
      <c r="N2" s="46">
        <f>AVERAGEIF(J4:J44,"&gt;0",J4:J44)</f>
        <v>38750</v>
      </c>
      <c r="O2" s="47">
        <f>SUM(M4:M45)</f>
        <v>44</v>
      </c>
      <c r="P2" s="48">
        <f>SUM(F4:F45)</f>
        <v>120</v>
      </c>
      <c r="Q2" s="73">
        <f>SUM(Q5:Q27)</f>
        <v>440000</v>
      </c>
      <c r="R2" s="73">
        <f>SUM(R5:R27)</f>
        <v>399999.99999999994</v>
      </c>
    </row>
    <row r="3" spans="1:25" ht="30" thickTop="1" thickBot="1" x14ac:dyDescent="0.35">
      <c r="A3" s="38" t="s">
        <v>0</v>
      </c>
      <c r="B3" s="39" t="s">
        <v>3</v>
      </c>
      <c r="C3" s="38" t="s">
        <v>1</v>
      </c>
      <c r="D3" s="38" t="s">
        <v>20</v>
      </c>
      <c r="E3" s="39" t="s">
        <v>37</v>
      </c>
      <c r="F3" s="39" t="s">
        <v>5</v>
      </c>
      <c r="G3" s="39" t="s">
        <v>32</v>
      </c>
      <c r="H3" s="39" t="s">
        <v>15</v>
      </c>
      <c r="I3" s="40" t="s">
        <v>21</v>
      </c>
      <c r="J3" s="40" t="s">
        <v>11</v>
      </c>
      <c r="K3" s="41" t="s">
        <v>13</v>
      </c>
      <c r="L3" s="40" t="s">
        <v>14</v>
      </c>
      <c r="M3" s="40" t="s">
        <v>19</v>
      </c>
      <c r="N3" s="40" t="s">
        <v>14</v>
      </c>
      <c r="O3" s="110" t="s">
        <v>6</v>
      </c>
      <c r="P3" s="110"/>
      <c r="Q3" s="110"/>
      <c r="R3" s="110"/>
    </row>
    <row r="4" spans="1:25" ht="18.75" customHeight="1" thickTop="1" thickBot="1" x14ac:dyDescent="0.35">
      <c r="A4" s="32">
        <v>1</v>
      </c>
      <c r="B4" s="96" t="s">
        <v>79</v>
      </c>
      <c r="C4" s="33" t="s">
        <v>12</v>
      </c>
      <c r="D4" s="34">
        <v>5</v>
      </c>
      <c r="E4" s="34">
        <v>5</v>
      </c>
      <c r="F4" s="35">
        <f t="shared" ref="F4:F45" si="0">D4-E4</f>
        <v>0</v>
      </c>
      <c r="G4" s="32" t="s">
        <v>36</v>
      </c>
      <c r="H4" s="64">
        <v>220000</v>
      </c>
      <c r="I4" s="62">
        <f>IF(G4="현금",H4,H4/1.1)</f>
        <v>199999.99999999997</v>
      </c>
      <c r="J4" s="36">
        <f t="shared" ref="J4:J45" si="1">I4/D4</f>
        <v>39999.999999999993</v>
      </c>
      <c r="K4" s="74">
        <v>0.4</v>
      </c>
      <c r="L4" s="68">
        <f t="shared" ref="L4:L45" si="2">PRODUCT(K4,J4)</f>
        <v>15999.999999999998</v>
      </c>
      <c r="M4" s="37"/>
      <c r="N4" s="70">
        <f t="shared" ref="N4:N45" si="3">PRODUCT(M4,L4)</f>
        <v>15999.999999999998</v>
      </c>
      <c r="O4" s="49" t="s">
        <v>7</v>
      </c>
      <c r="P4" s="49" t="s">
        <v>10</v>
      </c>
      <c r="Q4" s="49" t="s">
        <v>8</v>
      </c>
      <c r="R4" s="50" t="s">
        <v>9</v>
      </c>
      <c r="Y4" s="4"/>
    </row>
    <row r="5" spans="1:25" ht="18.75" customHeight="1" thickTop="1" thickBot="1" x14ac:dyDescent="0.35">
      <c r="A5" s="9">
        <v>2</v>
      </c>
      <c r="B5" s="94" t="s">
        <v>80</v>
      </c>
      <c r="C5" s="6" t="s">
        <v>12</v>
      </c>
      <c r="D5" s="5">
        <v>10</v>
      </c>
      <c r="E5" s="5">
        <v>10</v>
      </c>
      <c r="F5" s="30">
        <f t="shared" si="0"/>
        <v>0</v>
      </c>
      <c r="G5" s="9" t="s">
        <v>51</v>
      </c>
      <c r="H5" s="65">
        <v>440000</v>
      </c>
      <c r="I5" s="62">
        <f t="shared" ref="I5:I45" si="4">IF(G5="현금",H5,H5/1.1)</f>
        <v>399999.99999999994</v>
      </c>
      <c r="J5" s="31">
        <f t="shared" si="1"/>
        <v>39999.999999999993</v>
      </c>
      <c r="K5" s="74">
        <v>0.4</v>
      </c>
      <c r="L5" s="69">
        <f t="shared" si="2"/>
        <v>15999.999999999998</v>
      </c>
      <c r="M5" s="20"/>
      <c r="N5" s="71">
        <f t="shared" si="3"/>
        <v>15999.999999999998</v>
      </c>
      <c r="O5" s="97" t="s">
        <v>83</v>
      </c>
      <c r="P5" s="98" t="s">
        <v>36</v>
      </c>
      <c r="Q5" s="51">
        <v>220000</v>
      </c>
      <c r="R5" s="62">
        <f>IF(P5="현금",Q5,Q5/1.1)</f>
        <v>199999.99999999997</v>
      </c>
      <c r="Y5" s="4"/>
    </row>
    <row r="6" spans="1:25" ht="18.75" customHeight="1" thickTop="1" thickBot="1" x14ac:dyDescent="0.35">
      <c r="A6" s="9">
        <v>3</v>
      </c>
      <c r="B6" s="94" t="s">
        <v>77</v>
      </c>
      <c r="C6" s="6" t="s">
        <v>12</v>
      </c>
      <c r="D6" s="5">
        <v>5</v>
      </c>
      <c r="E6" s="5">
        <v>5</v>
      </c>
      <c r="F6" s="30">
        <f t="shared" si="0"/>
        <v>0</v>
      </c>
      <c r="G6" s="9" t="s">
        <v>36</v>
      </c>
      <c r="H6" s="65">
        <v>220000</v>
      </c>
      <c r="I6" s="62">
        <f t="shared" si="4"/>
        <v>199999.99999999997</v>
      </c>
      <c r="J6" s="31">
        <f t="shared" si="1"/>
        <v>39999.999999999993</v>
      </c>
      <c r="K6" s="74">
        <v>0.4</v>
      </c>
      <c r="L6" s="69">
        <f t="shared" si="2"/>
        <v>15999.999999999998</v>
      </c>
      <c r="M6" s="20"/>
      <c r="N6" s="71">
        <f t="shared" si="3"/>
        <v>15999.999999999998</v>
      </c>
      <c r="O6" s="97" t="s">
        <v>128</v>
      </c>
      <c r="P6" s="98" t="s">
        <v>36</v>
      </c>
      <c r="Q6" s="51">
        <v>220000</v>
      </c>
      <c r="R6" s="62">
        <f t="shared" ref="R6:R27" si="5">IF(P6="현금",Q6,Q6/1.1)</f>
        <v>199999.99999999997</v>
      </c>
      <c r="Y6" s="4"/>
    </row>
    <row r="7" spans="1:25" ht="18.75" customHeight="1" thickTop="1" thickBot="1" x14ac:dyDescent="0.35">
      <c r="A7" s="9">
        <v>4</v>
      </c>
      <c r="B7" s="94" t="s">
        <v>78</v>
      </c>
      <c r="C7" s="6" t="s">
        <v>12</v>
      </c>
      <c r="D7" s="5">
        <v>10</v>
      </c>
      <c r="E7" s="5">
        <v>6</v>
      </c>
      <c r="F7" s="30">
        <f t="shared" si="0"/>
        <v>4</v>
      </c>
      <c r="G7" s="9" t="s">
        <v>36</v>
      </c>
      <c r="H7" s="65">
        <v>440000</v>
      </c>
      <c r="I7" s="62">
        <f t="shared" si="4"/>
        <v>399999.99999999994</v>
      </c>
      <c r="J7" s="31">
        <f t="shared" si="1"/>
        <v>39999.999999999993</v>
      </c>
      <c r="K7" s="74">
        <v>0.4</v>
      </c>
      <c r="L7" s="69">
        <f t="shared" si="2"/>
        <v>15999.999999999998</v>
      </c>
      <c r="M7" s="20">
        <v>1</v>
      </c>
      <c r="N7" s="71">
        <f t="shared" si="3"/>
        <v>15999.999999999998</v>
      </c>
      <c r="O7" s="52"/>
      <c r="P7" s="53"/>
      <c r="Q7" s="51"/>
      <c r="R7" s="62">
        <f t="shared" si="5"/>
        <v>0</v>
      </c>
      <c r="Y7" s="4"/>
    </row>
    <row r="8" spans="1:25" ht="18.75" customHeight="1" thickTop="1" thickBot="1" x14ac:dyDescent="0.35">
      <c r="A8" s="9">
        <v>5</v>
      </c>
      <c r="B8" s="94" t="s">
        <v>81</v>
      </c>
      <c r="C8" s="6" t="s">
        <v>12</v>
      </c>
      <c r="D8" s="5">
        <v>20</v>
      </c>
      <c r="E8" s="5">
        <v>11</v>
      </c>
      <c r="F8" s="30">
        <f t="shared" si="0"/>
        <v>9</v>
      </c>
      <c r="G8" s="9" t="s">
        <v>51</v>
      </c>
      <c r="H8" s="65">
        <v>440000</v>
      </c>
      <c r="I8" s="62">
        <f t="shared" si="4"/>
        <v>399999.99999999994</v>
      </c>
      <c r="J8" s="31">
        <f t="shared" si="1"/>
        <v>19999.999999999996</v>
      </c>
      <c r="K8" s="74">
        <v>0.4</v>
      </c>
      <c r="L8" s="69">
        <f t="shared" si="2"/>
        <v>7999.9999999999991</v>
      </c>
      <c r="M8" s="20">
        <v>4</v>
      </c>
      <c r="N8" s="71">
        <f t="shared" si="3"/>
        <v>31999.999999999996</v>
      </c>
      <c r="O8" s="54"/>
      <c r="P8" s="53"/>
      <c r="Q8" s="51"/>
      <c r="R8" s="62">
        <f t="shared" si="5"/>
        <v>0</v>
      </c>
      <c r="Y8" s="4"/>
    </row>
    <row r="9" spans="1:25" ht="18.75" customHeight="1" thickTop="1" thickBot="1" x14ac:dyDescent="0.35">
      <c r="A9" s="9">
        <v>6</v>
      </c>
      <c r="B9" s="94" t="s">
        <v>84</v>
      </c>
      <c r="C9" s="6" t="s">
        <v>12</v>
      </c>
      <c r="D9" s="5">
        <v>5</v>
      </c>
      <c r="E9" s="5">
        <v>4</v>
      </c>
      <c r="F9" s="30">
        <f t="shared" si="0"/>
        <v>1</v>
      </c>
      <c r="G9" s="9" t="s">
        <v>36</v>
      </c>
      <c r="H9" s="65">
        <v>220000</v>
      </c>
      <c r="I9" s="62">
        <f t="shared" si="4"/>
        <v>199999.99999999997</v>
      </c>
      <c r="J9" s="31">
        <f t="shared" si="1"/>
        <v>39999.999999999993</v>
      </c>
      <c r="K9" s="74">
        <v>0.4</v>
      </c>
      <c r="L9" s="69">
        <f t="shared" si="2"/>
        <v>15999.999999999998</v>
      </c>
      <c r="M9" s="20">
        <v>3</v>
      </c>
      <c r="N9" s="71">
        <f t="shared" si="3"/>
        <v>47999.999999999993</v>
      </c>
      <c r="O9" s="52"/>
      <c r="P9" s="53"/>
      <c r="Q9" s="51"/>
      <c r="R9" s="62">
        <f t="shared" si="5"/>
        <v>0</v>
      </c>
      <c r="Y9" s="4"/>
    </row>
    <row r="10" spans="1:25" ht="18.75" customHeight="1" thickTop="1" thickBot="1" x14ac:dyDescent="0.35">
      <c r="A10" s="9">
        <v>7</v>
      </c>
      <c r="B10" s="94" t="s">
        <v>83</v>
      </c>
      <c r="C10" s="6" t="s">
        <v>41</v>
      </c>
      <c r="D10" s="5">
        <v>5</v>
      </c>
      <c r="E10" s="5">
        <v>5</v>
      </c>
      <c r="F10" s="30">
        <f t="shared" si="0"/>
        <v>0</v>
      </c>
      <c r="G10" s="9" t="s">
        <v>36</v>
      </c>
      <c r="H10" s="65">
        <v>220000</v>
      </c>
      <c r="I10" s="62">
        <f t="shared" si="4"/>
        <v>199999.99999999997</v>
      </c>
      <c r="J10" s="31">
        <f t="shared" si="1"/>
        <v>39999.999999999993</v>
      </c>
      <c r="K10" s="74">
        <v>0.4</v>
      </c>
      <c r="L10" s="69">
        <f t="shared" si="2"/>
        <v>15999.999999999998</v>
      </c>
      <c r="M10" s="20">
        <v>1</v>
      </c>
      <c r="N10" s="71">
        <f t="shared" si="3"/>
        <v>15999.999999999998</v>
      </c>
      <c r="O10" s="55"/>
      <c r="P10" s="56"/>
      <c r="Q10" s="51"/>
      <c r="R10" s="62">
        <f t="shared" si="5"/>
        <v>0</v>
      </c>
      <c r="Y10" s="4"/>
    </row>
    <row r="11" spans="1:25" ht="18.75" customHeight="1" thickTop="1" thickBot="1" x14ac:dyDescent="0.35">
      <c r="A11" s="9">
        <v>8</v>
      </c>
      <c r="B11" s="94" t="s">
        <v>82</v>
      </c>
      <c r="C11" s="6" t="s">
        <v>41</v>
      </c>
      <c r="D11" s="5">
        <v>60</v>
      </c>
      <c r="E11" s="5">
        <v>8</v>
      </c>
      <c r="F11" s="30">
        <f t="shared" si="0"/>
        <v>52</v>
      </c>
      <c r="G11" s="9" t="s">
        <v>36</v>
      </c>
      <c r="H11" s="65">
        <v>2640000</v>
      </c>
      <c r="I11" s="62">
        <f t="shared" si="4"/>
        <v>2400000</v>
      </c>
      <c r="J11" s="31">
        <f t="shared" si="1"/>
        <v>40000</v>
      </c>
      <c r="K11" s="74">
        <v>0.4</v>
      </c>
      <c r="L11" s="69">
        <f t="shared" si="2"/>
        <v>16000</v>
      </c>
      <c r="M11" s="20">
        <v>4</v>
      </c>
      <c r="N11" s="71">
        <f t="shared" si="3"/>
        <v>64000</v>
      </c>
      <c r="O11" s="55"/>
      <c r="P11" s="56"/>
      <c r="Q11" s="57"/>
      <c r="R11" s="62">
        <f t="shared" si="5"/>
        <v>0</v>
      </c>
      <c r="Y11" s="4"/>
    </row>
    <row r="12" spans="1:25" ht="18.75" customHeight="1" thickTop="1" thickBot="1" x14ac:dyDescent="0.35">
      <c r="A12" s="9">
        <v>9</v>
      </c>
      <c r="B12" s="94" t="s">
        <v>126</v>
      </c>
      <c r="C12" s="6" t="s">
        <v>12</v>
      </c>
      <c r="D12" s="5">
        <v>15</v>
      </c>
      <c r="E12" s="5">
        <v>7</v>
      </c>
      <c r="F12" s="30">
        <f t="shared" si="0"/>
        <v>8</v>
      </c>
      <c r="G12" s="9" t="s">
        <v>36</v>
      </c>
      <c r="H12" s="65">
        <v>660000</v>
      </c>
      <c r="I12" s="62">
        <f t="shared" si="4"/>
        <v>600000</v>
      </c>
      <c r="J12" s="31">
        <f t="shared" si="1"/>
        <v>40000</v>
      </c>
      <c r="K12" s="74">
        <v>0.4</v>
      </c>
      <c r="L12" s="69">
        <f t="shared" si="2"/>
        <v>16000</v>
      </c>
      <c r="M12" s="20">
        <v>4</v>
      </c>
      <c r="N12" s="71">
        <f t="shared" si="3"/>
        <v>64000</v>
      </c>
      <c r="O12" s="55"/>
      <c r="P12" s="55"/>
      <c r="Q12" s="56"/>
      <c r="R12" s="62">
        <f t="shared" si="5"/>
        <v>0</v>
      </c>
      <c r="Y12" s="4"/>
    </row>
    <row r="13" spans="1:25" ht="18.75" customHeight="1" thickTop="1" thickBot="1" x14ac:dyDescent="0.35">
      <c r="A13" s="9">
        <v>10</v>
      </c>
      <c r="B13" s="94" t="s">
        <v>127</v>
      </c>
      <c r="C13" s="6" t="s">
        <v>12</v>
      </c>
      <c r="D13" s="5">
        <v>20</v>
      </c>
      <c r="E13" s="5">
        <v>11</v>
      </c>
      <c r="F13" s="30">
        <f t="shared" si="0"/>
        <v>9</v>
      </c>
      <c r="G13" s="9" t="s">
        <v>36</v>
      </c>
      <c r="H13" s="65">
        <v>880000</v>
      </c>
      <c r="I13" s="62">
        <f t="shared" si="4"/>
        <v>799999.99999999988</v>
      </c>
      <c r="J13" s="31">
        <f t="shared" si="1"/>
        <v>39999.999999999993</v>
      </c>
      <c r="K13" s="74">
        <v>0.4</v>
      </c>
      <c r="L13" s="69">
        <f t="shared" si="2"/>
        <v>15999.999999999998</v>
      </c>
      <c r="M13" s="20">
        <v>6</v>
      </c>
      <c r="N13" s="71">
        <f t="shared" si="3"/>
        <v>95999.999999999985</v>
      </c>
      <c r="O13" s="55"/>
      <c r="P13" s="55"/>
      <c r="Q13" s="56"/>
      <c r="R13" s="62">
        <f t="shared" si="5"/>
        <v>0</v>
      </c>
      <c r="S13" s="25"/>
      <c r="U13" s="26"/>
      <c r="V13" s="26"/>
      <c r="Y13" s="4"/>
    </row>
    <row r="14" spans="1:25" ht="18.75" customHeight="1" thickTop="1" thickBot="1" x14ac:dyDescent="0.35">
      <c r="A14" s="9">
        <v>11</v>
      </c>
      <c r="B14" s="94" t="s">
        <v>128</v>
      </c>
      <c r="C14" s="6" t="s">
        <v>41</v>
      </c>
      <c r="D14" s="5">
        <v>5</v>
      </c>
      <c r="E14" s="5">
        <v>4</v>
      </c>
      <c r="F14" s="30">
        <f t="shared" si="0"/>
        <v>1</v>
      </c>
      <c r="G14" s="9" t="s">
        <v>36</v>
      </c>
      <c r="H14" s="65">
        <v>220000</v>
      </c>
      <c r="I14" s="62">
        <f t="shared" si="4"/>
        <v>199999.99999999997</v>
      </c>
      <c r="J14" s="31">
        <f t="shared" si="1"/>
        <v>39999.999999999993</v>
      </c>
      <c r="K14" s="74">
        <v>0.4</v>
      </c>
      <c r="L14" s="69">
        <f t="shared" si="2"/>
        <v>15999.999999999998</v>
      </c>
      <c r="M14" s="20">
        <v>2</v>
      </c>
      <c r="N14" s="71">
        <f t="shared" si="3"/>
        <v>31999.999999999996</v>
      </c>
      <c r="O14" s="55"/>
      <c r="P14" s="55"/>
      <c r="Q14" s="56"/>
      <c r="R14" s="62">
        <f t="shared" si="5"/>
        <v>0</v>
      </c>
      <c r="S14" s="25"/>
      <c r="U14" s="26"/>
      <c r="Y14" s="4"/>
    </row>
    <row r="15" spans="1:25" ht="18.75" customHeight="1" thickTop="1" thickBot="1" x14ac:dyDescent="0.35">
      <c r="A15" s="9">
        <v>12</v>
      </c>
      <c r="B15" s="99" t="s">
        <v>143</v>
      </c>
      <c r="C15" s="6" t="s">
        <v>41</v>
      </c>
      <c r="D15" s="5">
        <v>5</v>
      </c>
      <c r="E15" s="5">
        <v>4</v>
      </c>
      <c r="F15" s="30">
        <f t="shared" si="0"/>
        <v>1</v>
      </c>
      <c r="G15" s="9" t="s">
        <v>129</v>
      </c>
      <c r="H15" s="65">
        <v>220000</v>
      </c>
      <c r="I15" s="62">
        <f t="shared" si="4"/>
        <v>199999.99999999997</v>
      </c>
      <c r="J15" s="31">
        <f t="shared" si="1"/>
        <v>39999.999999999993</v>
      </c>
      <c r="K15" s="75">
        <v>0.4</v>
      </c>
      <c r="L15" s="69">
        <f t="shared" si="2"/>
        <v>15999.999999999998</v>
      </c>
      <c r="M15" s="20">
        <v>4</v>
      </c>
      <c r="N15" s="71">
        <f t="shared" si="3"/>
        <v>63999.999999999993</v>
      </c>
      <c r="O15" s="55"/>
      <c r="P15" s="55"/>
      <c r="Q15" s="56"/>
      <c r="R15" s="62">
        <f t="shared" si="5"/>
        <v>0</v>
      </c>
      <c r="S15" s="25"/>
      <c r="U15" s="26"/>
      <c r="V15" s="26"/>
      <c r="Y15" s="4"/>
    </row>
    <row r="16" spans="1:25" ht="18.75" customHeight="1" thickTop="1" thickBot="1" x14ac:dyDescent="0.35">
      <c r="A16" s="9">
        <v>13</v>
      </c>
      <c r="B16" s="99" t="s">
        <v>144</v>
      </c>
      <c r="C16" s="6" t="s">
        <v>41</v>
      </c>
      <c r="D16" s="5">
        <v>20</v>
      </c>
      <c r="E16" s="5">
        <v>2</v>
      </c>
      <c r="F16" s="30">
        <f t="shared" si="0"/>
        <v>18</v>
      </c>
      <c r="G16" s="9"/>
      <c r="H16" s="65">
        <v>880000</v>
      </c>
      <c r="I16" s="62">
        <f t="shared" si="4"/>
        <v>799999.99999999988</v>
      </c>
      <c r="J16" s="31">
        <f t="shared" si="1"/>
        <v>39999.999999999993</v>
      </c>
      <c r="K16" s="75">
        <v>0.4</v>
      </c>
      <c r="L16" s="69">
        <f t="shared" si="2"/>
        <v>15999.999999999998</v>
      </c>
      <c r="M16" s="20">
        <v>2</v>
      </c>
      <c r="N16" s="71">
        <f t="shared" si="3"/>
        <v>31999.999999999996</v>
      </c>
      <c r="O16" s="55"/>
      <c r="P16" s="55"/>
      <c r="Q16" s="56"/>
      <c r="R16" s="62">
        <f t="shared" si="5"/>
        <v>0</v>
      </c>
      <c r="S16" s="25"/>
      <c r="U16" s="26"/>
      <c r="Y16" s="4"/>
    </row>
    <row r="17" spans="1:25" ht="18.75" customHeight="1" thickTop="1" thickBot="1" x14ac:dyDescent="0.35">
      <c r="A17" s="9">
        <v>14</v>
      </c>
      <c r="B17" s="99" t="s">
        <v>145</v>
      </c>
      <c r="C17" s="6" t="s">
        <v>12</v>
      </c>
      <c r="D17" s="5">
        <v>10</v>
      </c>
      <c r="E17" s="5">
        <v>2</v>
      </c>
      <c r="F17" s="30">
        <f t="shared" si="0"/>
        <v>8</v>
      </c>
      <c r="G17" s="9"/>
      <c r="H17" s="65">
        <v>440000</v>
      </c>
      <c r="I17" s="62">
        <f t="shared" si="4"/>
        <v>399999.99999999994</v>
      </c>
      <c r="J17" s="31">
        <f t="shared" si="1"/>
        <v>39999.999999999993</v>
      </c>
      <c r="K17" s="75">
        <v>0.4</v>
      </c>
      <c r="L17" s="69">
        <f t="shared" si="2"/>
        <v>15999.999999999998</v>
      </c>
      <c r="M17" s="20">
        <v>2</v>
      </c>
      <c r="N17" s="71">
        <f t="shared" si="3"/>
        <v>31999.999999999996</v>
      </c>
      <c r="O17" s="55"/>
      <c r="P17" s="55"/>
      <c r="Q17" s="56"/>
      <c r="R17" s="62">
        <f t="shared" si="5"/>
        <v>0</v>
      </c>
      <c r="S17" s="25"/>
      <c r="U17" s="26"/>
      <c r="V17" s="26"/>
      <c r="Y17" s="4"/>
    </row>
    <row r="18" spans="1:25" ht="18.75" customHeight="1" thickTop="1" thickBot="1" x14ac:dyDescent="0.35">
      <c r="A18" s="9">
        <v>15</v>
      </c>
      <c r="B18" s="100" t="s">
        <v>131</v>
      </c>
      <c r="C18" s="6" t="s">
        <v>12</v>
      </c>
      <c r="D18" s="5">
        <v>10</v>
      </c>
      <c r="E18" s="5">
        <v>5</v>
      </c>
      <c r="F18" s="30">
        <f t="shared" si="0"/>
        <v>5</v>
      </c>
      <c r="G18" s="9"/>
      <c r="H18" s="65">
        <v>440000</v>
      </c>
      <c r="I18" s="62">
        <f t="shared" si="4"/>
        <v>399999.99999999994</v>
      </c>
      <c r="J18" s="31">
        <f t="shared" si="1"/>
        <v>39999.999999999993</v>
      </c>
      <c r="K18" s="75">
        <v>0.4</v>
      </c>
      <c r="L18" s="69">
        <f t="shared" si="2"/>
        <v>15999.999999999998</v>
      </c>
      <c r="M18" s="20">
        <v>5</v>
      </c>
      <c r="N18" s="71">
        <f t="shared" si="3"/>
        <v>79999.999999999985</v>
      </c>
      <c r="O18" s="55"/>
      <c r="P18" s="55"/>
      <c r="Q18" s="56"/>
      <c r="R18" s="62">
        <f t="shared" si="5"/>
        <v>0</v>
      </c>
      <c r="S18" s="25"/>
      <c r="U18" s="26"/>
      <c r="V18" s="26"/>
      <c r="Y18" s="4"/>
    </row>
    <row r="19" spans="1:25" ht="18.75" customHeight="1" thickTop="1" thickBot="1" x14ac:dyDescent="0.35">
      <c r="A19" s="9">
        <v>16</v>
      </c>
      <c r="B19" s="100" t="s">
        <v>146</v>
      </c>
      <c r="C19" s="6" t="s">
        <v>12</v>
      </c>
      <c r="D19" s="5">
        <v>10</v>
      </c>
      <c r="E19" s="5">
        <v>6</v>
      </c>
      <c r="F19" s="30">
        <f t="shared" si="0"/>
        <v>4</v>
      </c>
      <c r="G19" s="9"/>
      <c r="H19" s="65">
        <v>440000</v>
      </c>
      <c r="I19" s="62">
        <f t="shared" si="4"/>
        <v>399999.99999999994</v>
      </c>
      <c r="J19" s="31">
        <f t="shared" si="1"/>
        <v>39999.999999999993</v>
      </c>
      <c r="K19" s="75">
        <v>0.4</v>
      </c>
      <c r="L19" s="69">
        <f t="shared" si="2"/>
        <v>15999.999999999998</v>
      </c>
      <c r="M19" s="20">
        <v>6</v>
      </c>
      <c r="N19" s="71">
        <f t="shared" si="3"/>
        <v>95999.999999999985</v>
      </c>
      <c r="O19" s="55"/>
      <c r="P19" s="56"/>
      <c r="Q19" s="56"/>
      <c r="R19" s="62">
        <f t="shared" si="5"/>
        <v>0</v>
      </c>
      <c r="S19" s="25"/>
      <c r="U19" s="26"/>
      <c r="Y19" s="4"/>
    </row>
    <row r="20" spans="1:25" ht="18.75" customHeight="1" thickTop="1" thickBot="1" x14ac:dyDescent="0.35">
      <c r="A20" s="9">
        <v>17</v>
      </c>
      <c r="B20" s="17"/>
      <c r="C20" s="6"/>
      <c r="D20" s="5"/>
      <c r="E20" s="5"/>
      <c r="F20" s="30">
        <f t="shared" si="0"/>
        <v>0</v>
      </c>
      <c r="G20" s="9"/>
      <c r="H20" s="65"/>
      <c r="I20" s="62">
        <f t="shared" si="4"/>
        <v>0</v>
      </c>
      <c r="J20" s="31" t="e">
        <f t="shared" si="1"/>
        <v>#DIV/0!</v>
      </c>
      <c r="K20" s="75">
        <v>0.3</v>
      </c>
      <c r="L20" s="69" t="e">
        <f t="shared" si="2"/>
        <v>#DIV/0!</v>
      </c>
      <c r="M20" s="20"/>
      <c r="N20" s="71" t="e">
        <f t="shared" si="3"/>
        <v>#DIV/0!</v>
      </c>
      <c r="O20" s="55"/>
      <c r="P20" s="56"/>
      <c r="Q20" s="56"/>
      <c r="R20" s="62">
        <f t="shared" si="5"/>
        <v>0</v>
      </c>
      <c r="S20" s="25"/>
      <c r="U20" s="26"/>
      <c r="V20" s="26"/>
      <c r="Y20" s="4"/>
    </row>
    <row r="21" spans="1:25" ht="18.75" customHeight="1" thickTop="1" thickBot="1" x14ac:dyDescent="0.35">
      <c r="A21" s="9">
        <v>18</v>
      </c>
      <c r="B21" s="17"/>
      <c r="C21" s="6"/>
      <c r="D21" s="5"/>
      <c r="E21" s="5"/>
      <c r="F21" s="30">
        <f t="shared" si="0"/>
        <v>0</v>
      </c>
      <c r="G21" s="9"/>
      <c r="H21" s="65"/>
      <c r="I21" s="62">
        <f t="shared" si="4"/>
        <v>0</v>
      </c>
      <c r="J21" s="31" t="e">
        <f t="shared" si="1"/>
        <v>#DIV/0!</v>
      </c>
      <c r="K21" s="75">
        <v>0.3</v>
      </c>
      <c r="L21" s="69" t="e">
        <f t="shared" si="2"/>
        <v>#DIV/0!</v>
      </c>
      <c r="M21" s="20"/>
      <c r="N21" s="71" t="e">
        <f t="shared" si="3"/>
        <v>#DIV/0!</v>
      </c>
      <c r="O21" s="55"/>
      <c r="P21" s="56"/>
      <c r="Q21" s="56"/>
      <c r="R21" s="62">
        <f t="shared" si="5"/>
        <v>0</v>
      </c>
      <c r="S21" s="25"/>
      <c r="U21" s="26"/>
      <c r="V21" s="26"/>
      <c r="Y21" s="4"/>
    </row>
    <row r="22" spans="1:25" ht="18.75" customHeight="1" thickTop="1" thickBot="1" x14ac:dyDescent="0.35">
      <c r="A22" s="9">
        <v>19</v>
      </c>
      <c r="B22" s="15"/>
      <c r="C22" s="6"/>
      <c r="D22" s="5"/>
      <c r="E22" s="5"/>
      <c r="F22" s="30">
        <f t="shared" si="0"/>
        <v>0</v>
      </c>
      <c r="G22" s="9"/>
      <c r="H22" s="65"/>
      <c r="I22" s="62">
        <f t="shared" si="4"/>
        <v>0</v>
      </c>
      <c r="J22" s="31" t="e">
        <f t="shared" si="1"/>
        <v>#DIV/0!</v>
      </c>
      <c r="K22" s="75">
        <v>0.3</v>
      </c>
      <c r="L22" s="69" t="e">
        <f t="shared" si="2"/>
        <v>#DIV/0!</v>
      </c>
      <c r="M22" s="20"/>
      <c r="N22" s="71" t="e">
        <f t="shared" si="3"/>
        <v>#DIV/0!</v>
      </c>
      <c r="O22" s="55"/>
      <c r="P22" s="56"/>
      <c r="Q22" s="56"/>
      <c r="R22" s="62">
        <f t="shared" si="5"/>
        <v>0</v>
      </c>
      <c r="S22" s="25"/>
      <c r="T22" s="27"/>
      <c r="U22" s="26"/>
      <c r="V22" s="26"/>
      <c r="Y22" s="4"/>
    </row>
    <row r="23" spans="1:25" ht="18.75" customHeight="1" thickTop="1" thickBot="1" x14ac:dyDescent="0.35">
      <c r="A23" s="9">
        <v>20</v>
      </c>
      <c r="B23" s="17"/>
      <c r="C23" s="6"/>
      <c r="D23" s="5"/>
      <c r="E23" s="5"/>
      <c r="F23" s="30">
        <f t="shared" si="0"/>
        <v>0</v>
      </c>
      <c r="G23" s="9"/>
      <c r="H23" s="65"/>
      <c r="I23" s="62">
        <f t="shared" si="4"/>
        <v>0</v>
      </c>
      <c r="J23" s="31" t="e">
        <f t="shared" si="1"/>
        <v>#DIV/0!</v>
      </c>
      <c r="K23" s="75">
        <v>0.3</v>
      </c>
      <c r="L23" s="69" t="e">
        <f t="shared" si="2"/>
        <v>#DIV/0!</v>
      </c>
      <c r="M23" s="20"/>
      <c r="N23" s="71" t="e">
        <f t="shared" si="3"/>
        <v>#DIV/0!</v>
      </c>
      <c r="O23" s="58"/>
      <c r="P23" s="59"/>
      <c r="Q23" s="42"/>
      <c r="R23" s="62">
        <f t="shared" si="5"/>
        <v>0</v>
      </c>
      <c r="S23" s="25"/>
      <c r="T23" s="28"/>
      <c r="U23" s="26"/>
    </row>
    <row r="24" spans="1:25" ht="18.75" customHeight="1" thickTop="1" thickBot="1" x14ac:dyDescent="0.35">
      <c r="A24" s="9">
        <v>21</v>
      </c>
      <c r="B24" s="14"/>
      <c r="C24" s="6"/>
      <c r="D24" s="5"/>
      <c r="E24" s="5"/>
      <c r="F24" s="30">
        <f t="shared" si="0"/>
        <v>0</v>
      </c>
      <c r="G24" s="9"/>
      <c r="H24" s="65"/>
      <c r="I24" s="62">
        <f t="shared" si="4"/>
        <v>0</v>
      </c>
      <c r="J24" s="31" t="e">
        <f t="shared" si="1"/>
        <v>#DIV/0!</v>
      </c>
      <c r="K24" s="75">
        <v>0.3</v>
      </c>
      <c r="L24" s="69" t="e">
        <f t="shared" si="2"/>
        <v>#DIV/0!</v>
      </c>
      <c r="M24" s="20"/>
      <c r="N24" s="71" t="e">
        <f t="shared" si="3"/>
        <v>#DIV/0!</v>
      </c>
      <c r="O24" s="60"/>
      <c r="P24" s="60"/>
      <c r="Q24" s="42"/>
      <c r="R24" s="62">
        <f t="shared" si="5"/>
        <v>0</v>
      </c>
      <c r="S24" s="25"/>
      <c r="T24" s="29"/>
      <c r="U24" s="26"/>
    </row>
    <row r="25" spans="1:25" ht="18.75" customHeight="1" thickTop="1" thickBot="1" x14ac:dyDescent="0.35">
      <c r="A25" s="9">
        <v>22</v>
      </c>
      <c r="B25" s="12"/>
      <c r="C25" s="6"/>
      <c r="D25" s="5"/>
      <c r="E25" s="5"/>
      <c r="F25" s="30">
        <f t="shared" si="0"/>
        <v>0</v>
      </c>
      <c r="G25" s="9"/>
      <c r="H25" s="65"/>
      <c r="I25" s="62">
        <f t="shared" si="4"/>
        <v>0</v>
      </c>
      <c r="J25" s="31" t="e">
        <f t="shared" si="1"/>
        <v>#DIV/0!</v>
      </c>
      <c r="K25" s="75">
        <v>0.3</v>
      </c>
      <c r="L25" s="69" t="e">
        <f t="shared" si="2"/>
        <v>#DIV/0!</v>
      </c>
      <c r="M25" s="20"/>
      <c r="N25" s="71" t="e">
        <f t="shared" si="3"/>
        <v>#DIV/0!</v>
      </c>
      <c r="O25" s="60"/>
      <c r="P25" s="60"/>
      <c r="Q25" s="42"/>
      <c r="R25" s="62">
        <f t="shared" si="5"/>
        <v>0</v>
      </c>
      <c r="S25" s="25"/>
      <c r="T25" s="28"/>
      <c r="U25" s="26"/>
    </row>
    <row r="26" spans="1:25" ht="18.75" customHeight="1" thickTop="1" thickBot="1" x14ac:dyDescent="0.35">
      <c r="A26" s="9">
        <v>23</v>
      </c>
      <c r="B26" s="14"/>
      <c r="C26" s="6"/>
      <c r="D26" s="6"/>
      <c r="E26" s="6"/>
      <c r="F26" s="30">
        <f t="shared" si="0"/>
        <v>0</v>
      </c>
      <c r="G26" s="9"/>
      <c r="H26" s="65"/>
      <c r="I26" s="62">
        <f t="shared" si="4"/>
        <v>0</v>
      </c>
      <c r="J26" s="31" t="e">
        <f t="shared" si="1"/>
        <v>#DIV/0!</v>
      </c>
      <c r="K26" s="75">
        <v>0.3</v>
      </c>
      <c r="L26" s="69" t="e">
        <f t="shared" si="2"/>
        <v>#DIV/0!</v>
      </c>
      <c r="M26" s="13"/>
      <c r="N26" s="71" t="e">
        <f t="shared" si="3"/>
        <v>#DIV/0!</v>
      </c>
      <c r="O26" s="60"/>
      <c r="P26" s="60"/>
      <c r="Q26" s="42"/>
      <c r="R26" s="62">
        <f t="shared" si="5"/>
        <v>0</v>
      </c>
      <c r="S26" s="25"/>
      <c r="U26" s="26"/>
    </row>
    <row r="27" spans="1:25" ht="18.75" customHeight="1" thickTop="1" thickBot="1" x14ac:dyDescent="0.35">
      <c r="A27" s="9">
        <v>24</v>
      </c>
      <c r="B27" s="12"/>
      <c r="C27" s="6"/>
      <c r="D27" s="6"/>
      <c r="E27" s="6"/>
      <c r="F27" s="30">
        <f t="shared" si="0"/>
        <v>0</v>
      </c>
      <c r="G27" s="9"/>
      <c r="H27" s="65"/>
      <c r="I27" s="62">
        <f t="shared" si="4"/>
        <v>0</v>
      </c>
      <c r="J27" s="31" t="e">
        <f t="shared" si="1"/>
        <v>#DIV/0!</v>
      </c>
      <c r="K27" s="75">
        <v>0.3</v>
      </c>
      <c r="L27" s="69" t="e">
        <f t="shared" si="2"/>
        <v>#DIV/0!</v>
      </c>
      <c r="M27" s="13"/>
      <c r="N27" s="71" t="e">
        <f t="shared" si="3"/>
        <v>#DIV/0!</v>
      </c>
      <c r="O27" s="60"/>
      <c r="P27" s="60"/>
      <c r="Q27" s="42"/>
      <c r="R27" s="62">
        <f t="shared" si="5"/>
        <v>0</v>
      </c>
      <c r="S27" s="25"/>
      <c r="U27" s="26"/>
    </row>
    <row r="28" spans="1:25" ht="18.75" customHeight="1" thickTop="1" thickBot="1" x14ac:dyDescent="0.35">
      <c r="A28" s="9">
        <v>25</v>
      </c>
      <c r="B28" s="12"/>
      <c r="C28" s="6"/>
      <c r="D28" s="11"/>
      <c r="E28" s="11"/>
      <c r="F28" s="30">
        <f t="shared" si="0"/>
        <v>0</v>
      </c>
      <c r="G28" s="9"/>
      <c r="H28" s="65"/>
      <c r="I28" s="62">
        <f t="shared" si="4"/>
        <v>0</v>
      </c>
      <c r="J28" s="31" t="e">
        <f t="shared" si="1"/>
        <v>#DIV/0!</v>
      </c>
      <c r="K28" s="75">
        <v>0.3</v>
      </c>
      <c r="L28" s="69" t="e">
        <f t="shared" si="2"/>
        <v>#DIV/0!</v>
      </c>
      <c r="M28" s="13"/>
      <c r="N28" s="71" t="e">
        <f t="shared" si="3"/>
        <v>#DIV/0!</v>
      </c>
      <c r="O28" s="111" t="s">
        <v>18</v>
      </c>
      <c r="P28" s="111"/>
      <c r="Q28" s="111"/>
      <c r="R28" s="63">
        <f>SUM(Q5:Q27)</f>
        <v>440000</v>
      </c>
      <c r="S28" s="25"/>
      <c r="U28" s="26"/>
    </row>
    <row r="29" spans="1:25" ht="18.75" customHeight="1" thickTop="1" thickBot="1" x14ac:dyDescent="0.35">
      <c r="A29" s="9">
        <v>26</v>
      </c>
      <c r="B29" s="12"/>
      <c r="C29" s="6"/>
      <c r="D29" s="6"/>
      <c r="E29" s="6"/>
      <c r="F29" s="30">
        <f t="shared" si="0"/>
        <v>0</v>
      </c>
      <c r="G29" s="9"/>
      <c r="H29" s="65"/>
      <c r="I29" s="62">
        <f t="shared" si="4"/>
        <v>0</v>
      </c>
      <c r="J29" s="31" t="e">
        <f t="shared" si="1"/>
        <v>#DIV/0!</v>
      </c>
      <c r="K29" s="75">
        <v>0.3</v>
      </c>
      <c r="L29" s="69" t="e">
        <f t="shared" si="2"/>
        <v>#DIV/0!</v>
      </c>
      <c r="M29" s="13"/>
      <c r="N29" s="71" t="e">
        <f t="shared" si="3"/>
        <v>#DIV/0!</v>
      </c>
      <c r="O29" s="111" t="s">
        <v>16</v>
      </c>
      <c r="P29" s="111"/>
      <c r="Q29" s="111"/>
      <c r="R29" s="61"/>
      <c r="S29" s="25"/>
      <c r="U29" s="26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30">
        <f t="shared" si="0"/>
        <v>0</v>
      </c>
      <c r="G30" s="9"/>
      <c r="H30" s="65"/>
      <c r="I30" s="62">
        <f t="shared" si="4"/>
        <v>0</v>
      </c>
      <c r="J30" s="31" t="e">
        <f t="shared" si="1"/>
        <v>#DIV/0!</v>
      </c>
      <c r="K30" s="75">
        <v>0.3</v>
      </c>
      <c r="L30" s="69" t="e">
        <f t="shared" si="2"/>
        <v>#DIV/0!</v>
      </c>
      <c r="M30" s="20"/>
      <c r="N30" s="71" t="e">
        <f t="shared" si="3"/>
        <v>#DIV/0!</v>
      </c>
      <c r="O30" s="111" t="s">
        <v>17</v>
      </c>
      <c r="P30" s="111"/>
      <c r="Q30" s="111"/>
      <c r="R30" s="61">
        <f>R29+R28</f>
        <v>440000</v>
      </c>
      <c r="S30" s="25"/>
      <c r="U30" s="26"/>
    </row>
    <row r="31" spans="1:25" ht="18.75" customHeight="1" thickTop="1" thickBot="1" x14ac:dyDescent="0.35">
      <c r="A31" s="9">
        <v>28</v>
      </c>
      <c r="B31" s="21"/>
      <c r="C31" s="5"/>
      <c r="D31" s="5"/>
      <c r="E31" s="5"/>
      <c r="F31" s="30">
        <f t="shared" si="0"/>
        <v>0</v>
      </c>
      <c r="G31" s="9"/>
      <c r="H31" s="65"/>
      <c r="I31" s="62">
        <f t="shared" si="4"/>
        <v>0</v>
      </c>
      <c r="J31" s="31" t="e">
        <f t="shared" si="1"/>
        <v>#DIV/0!</v>
      </c>
      <c r="K31" s="75">
        <v>0.3</v>
      </c>
      <c r="L31" s="69" t="e">
        <f t="shared" si="2"/>
        <v>#DIV/0!</v>
      </c>
      <c r="M31" s="9"/>
      <c r="N31" s="71" t="e">
        <f t="shared" si="3"/>
        <v>#DIV/0!</v>
      </c>
      <c r="O31" s="113" t="s">
        <v>23</v>
      </c>
      <c r="P31" s="113"/>
      <c r="Q31" s="113"/>
      <c r="R31" s="115">
        <v>900000</v>
      </c>
      <c r="S31" s="25"/>
      <c r="T31" s="10"/>
      <c r="U31" s="112"/>
      <c r="V31" s="112"/>
      <c r="W31" s="112"/>
      <c r="X31" s="10"/>
    </row>
    <row r="32" spans="1:25" ht="18.75" customHeight="1" thickTop="1" thickBot="1" x14ac:dyDescent="0.35">
      <c r="A32" s="9">
        <v>29</v>
      </c>
      <c r="B32" s="22"/>
      <c r="C32" s="5"/>
      <c r="D32" s="23"/>
      <c r="E32" s="23"/>
      <c r="F32" s="30">
        <f t="shared" si="0"/>
        <v>0</v>
      </c>
      <c r="G32" s="9"/>
      <c r="H32" s="65"/>
      <c r="I32" s="62">
        <f t="shared" si="4"/>
        <v>0</v>
      </c>
      <c r="J32" s="31" t="e">
        <f t="shared" si="1"/>
        <v>#DIV/0!</v>
      </c>
      <c r="K32" s="75">
        <v>0.3</v>
      </c>
      <c r="L32" s="69" t="e">
        <f t="shared" si="2"/>
        <v>#DIV/0!</v>
      </c>
      <c r="M32" s="24"/>
      <c r="N32" s="71" t="e">
        <f t="shared" si="3"/>
        <v>#DIV/0!</v>
      </c>
      <c r="O32" s="113"/>
      <c r="P32" s="113"/>
      <c r="Q32" s="113"/>
      <c r="R32" s="115"/>
      <c r="S32" s="25"/>
      <c r="T32" s="10"/>
      <c r="U32" s="112"/>
      <c r="V32" s="112"/>
      <c r="W32" s="112"/>
      <c r="X32" s="10"/>
    </row>
    <row r="33" spans="1:26" ht="18.75" customHeight="1" thickTop="1" thickBot="1" x14ac:dyDescent="0.35">
      <c r="A33" s="9">
        <v>30</v>
      </c>
      <c r="B33" s="22"/>
      <c r="C33" s="5"/>
      <c r="D33" s="5"/>
      <c r="E33" s="5"/>
      <c r="F33" s="30">
        <f t="shared" si="0"/>
        <v>0</v>
      </c>
      <c r="G33" s="9"/>
      <c r="H33" s="65"/>
      <c r="I33" s="62">
        <f t="shared" si="4"/>
        <v>0</v>
      </c>
      <c r="J33" s="31" t="e">
        <f t="shared" si="1"/>
        <v>#DIV/0!</v>
      </c>
      <c r="K33" s="75">
        <v>0.3</v>
      </c>
      <c r="L33" s="69" t="e">
        <f t="shared" si="2"/>
        <v>#DIV/0!</v>
      </c>
      <c r="M33" s="24"/>
      <c r="N33" s="71" t="e">
        <f t="shared" si="3"/>
        <v>#DIV/0!</v>
      </c>
      <c r="O33" s="113" t="s">
        <v>24</v>
      </c>
      <c r="P33" s="113"/>
      <c r="Q33" s="113"/>
      <c r="R33" s="114">
        <f>SUMIF(N4:N45,"&gt;0",N4:N45)</f>
        <v>720000</v>
      </c>
      <c r="S33" s="25"/>
      <c r="T33" s="10"/>
      <c r="U33" s="112"/>
      <c r="V33" s="112"/>
      <c r="W33" s="112"/>
      <c r="X33" s="10"/>
    </row>
    <row r="34" spans="1:26" ht="18.75" customHeight="1" thickTop="1" thickBot="1" x14ac:dyDescent="0.35">
      <c r="A34" s="9">
        <v>31</v>
      </c>
      <c r="B34" s="21"/>
      <c r="C34" s="5"/>
      <c r="D34" s="5"/>
      <c r="E34" s="5"/>
      <c r="F34" s="30">
        <f t="shared" si="0"/>
        <v>0</v>
      </c>
      <c r="G34" s="9"/>
      <c r="H34" s="65"/>
      <c r="I34" s="62">
        <f t="shared" si="4"/>
        <v>0</v>
      </c>
      <c r="J34" s="31" t="e">
        <f t="shared" si="1"/>
        <v>#DIV/0!</v>
      </c>
      <c r="K34" s="75">
        <v>0.3</v>
      </c>
      <c r="L34" s="69" t="e">
        <f t="shared" si="2"/>
        <v>#DIV/0!</v>
      </c>
      <c r="M34" s="24"/>
      <c r="N34" s="71" t="e">
        <f t="shared" si="3"/>
        <v>#DIV/0!</v>
      </c>
      <c r="O34" s="113"/>
      <c r="P34" s="113"/>
      <c r="Q34" s="113"/>
      <c r="R34" s="114"/>
      <c r="S34" s="25"/>
      <c r="T34" s="10"/>
      <c r="U34" s="112"/>
      <c r="V34" s="112"/>
      <c r="W34" s="112"/>
      <c r="X34" s="10"/>
      <c r="Y34"/>
      <c r="Z34"/>
    </row>
    <row r="35" spans="1:26" ht="18.75" customHeight="1" thickTop="1" thickBot="1" x14ac:dyDescent="0.35">
      <c r="A35" s="9">
        <v>32</v>
      </c>
      <c r="B35" s="21"/>
      <c r="C35" s="5"/>
      <c r="D35" s="23"/>
      <c r="E35" s="23"/>
      <c r="F35" s="30">
        <f t="shared" si="0"/>
        <v>0</v>
      </c>
      <c r="G35" s="9"/>
      <c r="H35" s="66"/>
      <c r="I35" s="62">
        <f t="shared" si="4"/>
        <v>0</v>
      </c>
      <c r="J35" s="31" t="e">
        <f t="shared" si="1"/>
        <v>#DIV/0!</v>
      </c>
      <c r="K35" s="75">
        <v>0.3</v>
      </c>
      <c r="L35" s="69" t="e">
        <f t="shared" si="2"/>
        <v>#DIV/0!</v>
      </c>
      <c r="M35" s="24"/>
      <c r="N35" s="71" t="e">
        <f t="shared" si="3"/>
        <v>#DIV/0!</v>
      </c>
      <c r="O35" s="113" t="s">
        <v>22</v>
      </c>
      <c r="P35" s="113"/>
      <c r="Q35" s="113"/>
      <c r="R35" s="118">
        <f>R31+R33</f>
        <v>1620000</v>
      </c>
      <c r="X35"/>
    </row>
    <row r="36" spans="1:26" ht="18.75" customHeight="1" thickTop="1" thickBot="1" x14ac:dyDescent="0.35">
      <c r="A36" s="9">
        <v>33</v>
      </c>
      <c r="B36" s="21"/>
      <c r="C36" s="5"/>
      <c r="D36" s="5"/>
      <c r="E36" s="5"/>
      <c r="F36" s="30">
        <f t="shared" si="0"/>
        <v>0</v>
      </c>
      <c r="G36" s="9"/>
      <c r="H36" s="65"/>
      <c r="I36" s="62">
        <f t="shared" si="4"/>
        <v>0</v>
      </c>
      <c r="J36" s="31" t="e">
        <f t="shared" si="1"/>
        <v>#DIV/0!</v>
      </c>
      <c r="K36" s="75">
        <v>0.3</v>
      </c>
      <c r="L36" s="69" t="e">
        <f t="shared" si="2"/>
        <v>#DIV/0!</v>
      </c>
      <c r="M36" s="24"/>
      <c r="N36" s="71" t="e">
        <f t="shared" si="3"/>
        <v>#DIV/0!</v>
      </c>
      <c r="O36" s="113"/>
      <c r="P36" s="113"/>
      <c r="Q36" s="113"/>
      <c r="R36" s="118"/>
      <c r="X36"/>
      <c r="Y36"/>
      <c r="Z36"/>
    </row>
    <row r="37" spans="1:26" ht="18.75" customHeight="1" thickTop="1" thickBot="1" x14ac:dyDescent="0.35">
      <c r="A37" s="9">
        <v>34</v>
      </c>
      <c r="B37" s="19"/>
      <c r="C37" s="5"/>
      <c r="D37" s="23"/>
      <c r="E37" s="23"/>
      <c r="F37" s="30">
        <f t="shared" si="0"/>
        <v>0</v>
      </c>
      <c r="G37" s="9"/>
      <c r="H37" s="66"/>
      <c r="I37" s="62">
        <f t="shared" si="4"/>
        <v>0</v>
      </c>
      <c r="J37" s="31" t="e">
        <f t="shared" si="1"/>
        <v>#DIV/0!</v>
      </c>
      <c r="K37" s="75">
        <v>0.3</v>
      </c>
      <c r="L37" s="69" t="e">
        <f t="shared" si="2"/>
        <v>#DIV/0!</v>
      </c>
      <c r="M37" s="24"/>
      <c r="N37" s="71" t="e">
        <f t="shared" si="3"/>
        <v>#DIV/0!</v>
      </c>
      <c r="O37" s="117" t="s">
        <v>107</v>
      </c>
      <c r="P37" s="117"/>
      <c r="Q37" s="117"/>
      <c r="R37" s="117"/>
      <c r="S37"/>
      <c r="X37"/>
      <c r="Y37"/>
      <c r="Z37"/>
    </row>
    <row r="38" spans="1:26" ht="18.75" customHeight="1" thickTop="1" thickBot="1" x14ac:dyDescent="0.35">
      <c r="A38" s="9">
        <v>35</v>
      </c>
      <c r="B38" s="19"/>
      <c r="C38" s="8"/>
      <c r="D38" s="8"/>
      <c r="E38" s="8"/>
      <c r="F38" s="30">
        <f t="shared" si="0"/>
        <v>0</v>
      </c>
      <c r="G38" s="9"/>
      <c r="H38" s="66"/>
      <c r="I38" s="62">
        <f t="shared" si="4"/>
        <v>0</v>
      </c>
      <c r="J38" s="31" t="e">
        <f t="shared" si="1"/>
        <v>#DIV/0!</v>
      </c>
      <c r="K38" s="75">
        <v>0.3</v>
      </c>
      <c r="L38" s="69" t="e">
        <f t="shared" si="2"/>
        <v>#DIV/0!</v>
      </c>
      <c r="M38" s="24"/>
      <c r="N38" s="71" t="e">
        <f t="shared" si="3"/>
        <v>#DIV/0!</v>
      </c>
      <c r="O38" s="117" t="s">
        <v>108</v>
      </c>
      <c r="P38" s="117"/>
      <c r="Q38" s="117"/>
      <c r="R38" s="117"/>
      <c r="S38"/>
      <c r="X38"/>
      <c r="Y38"/>
      <c r="Z38"/>
    </row>
    <row r="39" spans="1:26" ht="18.75" customHeight="1" thickTop="1" thickBot="1" x14ac:dyDescent="0.35">
      <c r="A39" s="9">
        <v>36</v>
      </c>
      <c r="B39" s="19"/>
      <c r="C39" s="8"/>
      <c r="D39" s="8"/>
      <c r="E39" s="8"/>
      <c r="F39" s="30">
        <f t="shared" si="0"/>
        <v>0</v>
      </c>
      <c r="G39" s="9"/>
      <c r="H39" s="67"/>
      <c r="I39" s="62">
        <f t="shared" si="4"/>
        <v>0</v>
      </c>
      <c r="J39" s="31" t="e">
        <f t="shared" si="1"/>
        <v>#DIV/0!</v>
      </c>
      <c r="K39" s="75">
        <v>0.3</v>
      </c>
      <c r="L39" s="69" t="e">
        <f t="shared" si="2"/>
        <v>#DIV/0!</v>
      </c>
      <c r="M39" s="24"/>
      <c r="N39" s="71" t="e">
        <f t="shared" si="3"/>
        <v>#DIV/0!</v>
      </c>
      <c r="O39" s="117" t="s">
        <v>109</v>
      </c>
      <c r="P39" s="117"/>
      <c r="Q39" s="117"/>
      <c r="R39" s="117"/>
      <c r="S39"/>
      <c r="X39"/>
      <c r="Y39"/>
      <c r="Z39"/>
    </row>
    <row r="40" spans="1:26" ht="18.75" customHeight="1" thickTop="1" thickBot="1" x14ac:dyDescent="0.35">
      <c r="A40" s="9">
        <v>37</v>
      </c>
      <c r="B40" s="19"/>
      <c r="C40" s="8"/>
      <c r="D40" s="8"/>
      <c r="E40" s="8"/>
      <c r="F40" s="30">
        <f t="shared" si="0"/>
        <v>0</v>
      </c>
      <c r="G40" s="9"/>
      <c r="H40" s="67"/>
      <c r="I40" s="62">
        <f t="shared" si="4"/>
        <v>0</v>
      </c>
      <c r="J40" s="31" t="e">
        <f t="shared" si="1"/>
        <v>#DIV/0!</v>
      </c>
      <c r="K40" s="75">
        <v>0.3</v>
      </c>
      <c r="L40" s="69" t="e">
        <f t="shared" si="2"/>
        <v>#DIV/0!</v>
      </c>
      <c r="M40" s="24"/>
      <c r="N40" s="71" t="e">
        <f t="shared" si="3"/>
        <v>#DIV/0!</v>
      </c>
      <c r="O40" s="117" t="s">
        <v>110</v>
      </c>
      <c r="P40" s="117"/>
      <c r="Q40" s="117"/>
      <c r="R40" s="117"/>
      <c r="S40"/>
      <c r="X40"/>
      <c r="Y40"/>
      <c r="Z40"/>
    </row>
    <row r="41" spans="1:26" ht="18.75" customHeight="1" thickTop="1" thickBot="1" x14ac:dyDescent="0.35">
      <c r="A41" s="9">
        <v>38</v>
      </c>
      <c r="B41" s="19"/>
      <c r="C41" s="3"/>
      <c r="D41" s="8"/>
      <c r="E41" s="8"/>
      <c r="F41" s="30">
        <f t="shared" si="0"/>
        <v>0</v>
      </c>
      <c r="G41" s="9"/>
      <c r="H41" s="67"/>
      <c r="I41" s="62">
        <f t="shared" si="4"/>
        <v>0</v>
      </c>
      <c r="J41" s="31" t="e">
        <f t="shared" si="1"/>
        <v>#DIV/0!</v>
      </c>
      <c r="K41" s="75">
        <v>0.3</v>
      </c>
      <c r="L41" s="69" t="e">
        <f t="shared" si="2"/>
        <v>#DIV/0!</v>
      </c>
      <c r="M41" s="24"/>
      <c r="N41" s="71" t="e">
        <f t="shared" si="3"/>
        <v>#DIV/0!</v>
      </c>
      <c r="O41" s="117" t="s">
        <v>111</v>
      </c>
      <c r="P41" s="117"/>
      <c r="Q41" s="117"/>
      <c r="R41" s="117"/>
      <c r="S41"/>
      <c r="X41"/>
      <c r="Y41"/>
      <c r="Z41"/>
    </row>
    <row r="42" spans="1:26" ht="18.75" customHeight="1" thickTop="1" thickBot="1" x14ac:dyDescent="0.35">
      <c r="A42" s="9">
        <v>39</v>
      </c>
      <c r="B42" s="19"/>
      <c r="C42" s="8"/>
      <c r="D42" s="8"/>
      <c r="E42" s="8"/>
      <c r="F42" s="30">
        <f t="shared" si="0"/>
        <v>0</v>
      </c>
      <c r="G42" s="9"/>
      <c r="H42" s="67"/>
      <c r="I42" s="62">
        <f t="shared" si="4"/>
        <v>0</v>
      </c>
      <c r="J42" s="31" t="e">
        <f t="shared" si="1"/>
        <v>#DIV/0!</v>
      </c>
      <c r="K42" s="75">
        <v>0.3</v>
      </c>
      <c r="L42" s="69" t="e">
        <f t="shared" si="2"/>
        <v>#DIV/0!</v>
      </c>
      <c r="M42" s="24"/>
      <c r="N42" s="71" t="e">
        <f t="shared" si="3"/>
        <v>#DIV/0!</v>
      </c>
      <c r="O42" s="117" t="s">
        <v>112</v>
      </c>
      <c r="P42" s="117"/>
      <c r="Q42" s="117"/>
      <c r="R42" s="117"/>
      <c r="S42"/>
      <c r="X42"/>
      <c r="Y42"/>
      <c r="Z42"/>
    </row>
    <row r="43" spans="1:26" ht="18.75" customHeight="1" thickTop="1" thickBot="1" x14ac:dyDescent="0.35">
      <c r="A43" s="9">
        <v>40</v>
      </c>
      <c r="B43" s="19"/>
      <c r="C43" s="8"/>
      <c r="D43" s="8"/>
      <c r="E43" s="8"/>
      <c r="F43" s="30">
        <f t="shared" si="0"/>
        <v>0</v>
      </c>
      <c r="G43" s="9"/>
      <c r="H43" s="67"/>
      <c r="I43" s="62">
        <f t="shared" si="4"/>
        <v>0</v>
      </c>
      <c r="J43" s="31" t="e">
        <f t="shared" si="1"/>
        <v>#DIV/0!</v>
      </c>
      <c r="K43" s="75">
        <v>0.3</v>
      </c>
      <c r="L43" s="69" t="e">
        <f t="shared" si="2"/>
        <v>#DIV/0!</v>
      </c>
      <c r="M43" s="24"/>
      <c r="N43" s="71" t="e">
        <f t="shared" si="3"/>
        <v>#DIV/0!</v>
      </c>
      <c r="O43" s="117" t="s">
        <v>113</v>
      </c>
      <c r="P43" s="117"/>
      <c r="Q43" s="117"/>
      <c r="R43" s="117"/>
      <c r="S43"/>
      <c r="X43"/>
      <c r="Y43"/>
      <c r="Z43"/>
    </row>
    <row r="44" spans="1:26" ht="18.75" customHeight="1" thickTop="1" thickBot="1" x14ac:dyDescent="0.35">
      <c r="A44" s="9">
        <v>41</v>
      </c>
      <c r="B44" s="19"/>
      <c r="C44" s="8"/>
      <c r="D44" s="8"/>
      <c r="E44" s="8"/>
      <c r="F44" s="30">
        <f t="shared" si="0"/>
        <v>0</v>
      </c>
      <c r="G44" s="9"/>
      <c r="H44" s="67"/>
      <c r="I44" s="62">
        <f t="shared" si="4"/>
        <v>0</v>
      </c>
      <c r="J44" s="31" t="e">
        <f t="shared" si="1"/>
        <v>#DIV/0!</v>
      </c>
      <c r="K44" s="75">
        <v>0.3</v>
      </c>
      <c r="L44" s="69" t="e">
        <f t="shared" si="2"/>
        <v>#DIV/0!</v>
      </c>
      <c r="M44" s="24"/>
      <c r="N44" s="71" t="e">
        <f t="shared" si="3"/>
        <v>#DIV/0!</v>
      </c>
      <c r="O44" s="117" t="s">
        <v>114</v>
      </c>
      <c r="P44" s="117"/>
      <c r="Q44" s="117"/>
      <c r="R44" s="117"/>
      <c r="S44"/>
    </row>
    <row r="45" spans="1:26" ht="18.75" customHeight="1" thickTop="1" thickBot="1" x14ac:dyDescent="0.35">
      <c r="A45" s="9">
        <v>42</v>
      </c>
      <c r="B45" s="19"/>
      <c r="C45" s="8"/>
      <c r="D45" s="8"/>
      <c r="E45" s="8"/>
      <c r="F45" s="30">
        <f t="shared" si="0"/>
        <v>0</v>
      </c>
      <c r="G45" s="9"/>
      <c r="H45" s="67"/>
      <c r="I45" s="62">
        <f t="shared" si="4"/>
        <v>0</v>
      </c>
      <c r="J45" s="31" t="e">
        <f t="shared" si="1"/>
        <v>#DIV/0!</v>
      </c>
      <c r="K45" s="75">
        <v>0.3</v>
      </c>
      <c r="L45" s="69" t="e">
        <f t="shared" si="2"/>
        <v>#DIV/0!</v>
      </c>
      <c r="M45" s="24"/>
      <c r="N45" s="71" t="e">
        <f t="shared" si="3"/>
        <v>#DIV/0!</v>
      </c>
      <c r="O45" s="117" t="s">
        <v>115</v>
      </c>
      <c r="P45" s="117"/>
      <c r="Q45" s="117"/>
      <c r="R45" s="117"/>
      <c r="S45"/>
    </row>
    <row r="46" spans="1:26" ht="17.25" thickTop="1" x14ac:dyDescent="0.3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16"/>
      <c r="B48" s="7"/>
      <c r="C48" s="7"/>
      <c r="D48" s="7"/>
      <c r="E48" s="116"/>
      <c r="F48" s="116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116"/>
      <c r="B49" s="7"/>
      <c r="C49" s="7"/>
      <c r="D49" s="7"/>
      <c r="E49" s="116"/>
      <c r="F49" s="116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116"/>
      <c r="B53" s="116"/>
      <c r="C53" s="116"/>
      <c r="D53" s="116"/>
      <c r="E53" s="116"/>
      <c r="F53" s="116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16"/>
      <c r="B54" s="116"/>
      <c r="C54" s="7"/>
      <c r="D54" s="7"/>
      <c r="E54" s="116"/>
      <c r="F54" s="116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116"/>
      <c r="B55" s="7"/>
      <c r="C55" s="7"/>
      <c r="D55" s="7"/>
      <c r="E55" s="116"/>
      <c r="F55" s="116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116"/>
      <c r="B57" s="11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1:H2"/>
    <mergeCell ref="O3:R3"/>
    <mergeCell ref="O28:Q28"/>
    <mergeCell ref="O29:Q29"/>
    <mergeCell ref="O30:Q30"/>
    <mergeCell ref="U31:W31"/>
    <mergeCell ref="U32:W32"/>
    <mergeCell ref="O33:Q34"/>
    <mergeCell ref="R33:R34"/>
    <mergeCell ref="U33:W33"/>
    <mergeCell ref="U34:W34"/>
    <mergeCell ref="O31:Q32"/>
    <mergeCell ref="R31:R32"/>
    <mergeCell ref="A46:N46"/>
    <mergeCell ref="O35:Q36"/>
    <mergeCell ref="R35:R36"/>
    <mergeCell ref="O37:R37"/>
    <mergeCell ref="O38:R38"/>
    <mergeCell ref="O39:R39"/>
    <mergeCell ref="O40:R40"/>
    <mergeCell ref="O41:R41"/>
    <mergeCell ref="O42:R42"/>
    <mergeCell ref="O43:R43"/>
    <mergeCell ref="O44:R44"/>
    <mergeCell ref="O45:R45"/>
    <mergeCell ref="A57:B57"/>
    <mergeCell ref="A48:A49"/>
    <mergeCell ref="E48:F48"/>
    <mergeCell ref="E49:F49"/>
    <mergeCell ref="A53:A55"/>
    <mergeCell ref="B53:B54"/>
    <mergeCell ref="C53:D53"/>
    <mergeCell ref="E53:F54"/>
    <mergeCell ref="E55:F55"/>
  </mergeCells>
  <phoneticPr fontId="33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이준수</vt:lpstr>
      <vt:lpstr>한길수</vt:lpstr>
      <vt:lpstr>전민진</vt:lpstr>
      <vt:lpstr>박형선</vt:lpstr>
      <vt:lpstr>박형선!Print_Area</vt:lpstr>
      <vt:lpstr>이준수!Print_Area</vt:lpstr>
      <vt:lpstr>전민진!Print_Area</vt:lpstr>
      <vt:lpstr>한길수!Print_Area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ADMIN</cp:lastModifiedBy>
  <cp:revision>274</cp:revision>
  <cp:lastPrinted>2025-05-12T05:34:49Z</cp:lastPrinted>
  <dcterms:created xsi:type="dcterms:W3CDTF">2011-03-31T10:04:44Z</dcterms:created>
  <dcterms:modified xsi:type="dcterms:W3CDTF">2025-06-11T10:37:54Z</dcterms:modified>
</cp:coreProperties>
</file>