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8_{D8386A06-5352-44CB-A32F-82036509EB3F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이준수" sheetId="18" r:id="rId1"/>
    <sheet name="한길수" sheetId="14" r:id="rId2"/>
    <sheet name="전민진" sheetId="15" r:id="rId3"/>
    <sheet name="박형선" sheetId="19" r:id="rId4"/>
  </sheets>
  <definedNames>
    <definedName name="_xlnm._FilterDatabase" localSheetId="3" hidden="1">박형선!$P$5:$P$20</definedName>
    <definedName name="_xlnm._FilterDatabase" localSheetId="0" hidden="1">이준수!$P$5:$P$21</definedName>
    <definedName name="_xlnm._FilterDatabase" localSheetId="2" hidden="1">전민진!$P$5:$P$20</definedName>
    <definedName name="_xlnm._FilterDatabase" localSheetId="1" hidden="1">한길수!$P$5:$P$20</definedName>
    <definedName name="_xlnm.Print_Area" localSheetId="3">박형선!$A$1:$R$45</definedName>
    <definedName name="_xlnm.Print_Area" localSheetId="0">이준수!$A$1:$R$49</definedName>
    <definedName name="_xlnm.Print_Area" localSheetId="2">전민진!$A$1:$R$45</definedName>
    <definedName name="_xlnm.Print_Area" localSheetId="1">한길수!$A$1:$R$45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8" l="1"/>
  <c r="R2" i="18"/>
  <c r="R32" i="18"/>
  <c r="R28" i="18"/>
  <c r="R29" i="18"/>
  <c r="R30" i="18"/>
  <c r="R31" i="18"/>
  <c r="I29" i="18"/>
  <c r="J29" i="18" s="1"/>
  <c r="L29" i="18" s="1"/>
  <c r="N29" i="18" s="1"/>
  <c r="I30" i="18"/>
  <c r="J30" i="18" s="1"/>
  <c r="L30" i="18" s="1"/>
  <c r="N30" i="18" s="1"/>
  <c r="I31" i="18"/>
  <c r="J31" i="18" s="1"/>
  <c r="L31" i="18" s="1"/>
  <c r="N31" i="18" s="1"/>
  <c r="F29" i="18"/>
  <c r="F30" i="18"/>
  <c r="F31" i="18"/>
  <c r="F7" i="18" l="1"/>
  <c r="I7" i="18"/>
  <c r="J7" i="18" s="1"/>
  <c r="L7" i="18" s="1"/>
  <c r="N7" i="18" s="1"/>
  <c r="R7" i="18"/>
  <c r="I45" i="19"/>
  <c r="J45" i="19" s="1"/>
  <c r="L45" i="19" s="1"/>
  <c r="N45" i="19" s="1"/>
  <c r="F45" i="19"/>
  <c r="J44" i="19"/>
  <c r="L44" i="19" s="1"/>
  <c r="N44" i="19" s="1"/>
  <c r="I44" i="19"/>
  <c r="F44" i="19"/>
  <c r="I43" i="19"/>
  <c r="J43" i="19" s="1"/>
  <c r="L43" i="19" s="1"/>
  <c r="N43" i="19" s="1"/>
  <c r="F43" i="19"/>
  <c r="J42" i="19"/>
  <c r="L42" i="19" s="1"/>
  <c r="N42" i="19" s="1"/>
  <c r="I42" i="19"/>
  <c r="F42" i="19"/>
  <c r="I41" i="19"/>
  <c r="J41" i="19" s="1"/>
  <c r="L41" i="19" s="1"/>
  <c r="N41" i="19" s="1"/>
  <c r="F41" i="19"/>
  <c r="J40" i="19"/>
  <c r="L40" i="19" s="1"/>
  <c r="N40" i="19" s="1"/>
  <c r="I40" i="19"/>
  <c r="F40" i="19"/>
  <c r="I39" i="19"/>
  <c r="J39" i="19" s="1"/>
  <c r="L39" i="19" s="1"/>
  <c r="N39" i="19" s="1"/>
  <c r="F39" i="19"/>
  <c r="J38" i="19"/>
  <c r="L38" i="19" s="1"/>
  <c r="N38" i="19" s="1"/>
  <c r="I38" i="19"/>
  <c r="F38" i="19"/>
  <c r="I37" i="19"/>
  <c r="J37" i="19" s="1"/>
  <c r="L37" i="19" s="1"/>
  <c r="N37" i="19" s="1"/>
  <c r="F37" i="19"/>
  <c r="J36" i="19"/>
  <c r="L36" i="19" s="1"/>
  <c r="N36" i="19" s="1"/>
  <c r="I36" i="19"/>
  <c r="F36" i="19"/>
  <c r="J35" i="19"/>
  <c r="L35" i="19" s="1"/>
  <c r="N35" i="19" s="1"/>
  <c r="I35" i="19"/>
  <c r="F35" i="19"/>
  <c r="I34" i="19"/>
  <c r="J34" i="19" s="1"/>
  <c r="L34" i="19" s="1"/>
  <c r="N34" i="19" s="1"/>
  <c r="F34" i="19"/>
  <c r="I33" i="19"/>
  <c r="J33" i="19" s="1"/>
  <c r="L33" i="19" s="1"/>
  <c r="N33" i="19" s="1"/>
  <c r="F33" i="19"/>
  <c r="J32" i="19"/>
  <c r="L32" i="19" s="1"/>
  <c r="N32" i="19" s="1"/>
  <c r="I32" i="19"/>
  <c r="F32" i="19"/>
  <c r="I31" i="19"/>
  <c r="J31" i="19" s="1"/>
  <c r="L31" i="19" s="1"/>
  <c r="N31" i="19" s="1"/>
  <c r="F31" i="19"/>
  <c r="R30" i="19"/>
  <c r="I30" i="19"/>
  <c r="J30" i="19" s="1"/>
  <c r="L30" i="19" s="1"/>
  <c r="N30" i="19" s="1"/>
  <c r="F30" i="19"/>
  <c r="J29" i="19"/>
  <c r="L29" i="19" s="1"/>
  <c r="N29" i="19" s="1"/>
  <c r="I29" i="19"/>
  <c r="F29" i="19"/>
  <c r="R28" i="19"/>
  <c r="J28" i="19"/>
  <c r="L28" i="19" s="1"/>
  <c r="N28" i="19" s="1"/>
  <c r="I28" i="19"/>
  <c r="F28" i="19"/>
  <c r="R27" i="19"/>
  <c r="J27" i="19"/>
  <c r="L27" i="19" s="1"/>
  <c r="N27" i="19" s="1"/>
  <c r="I27" i="19"/>
  <c r="F27" i="19"/>
  <c r="R26" i="19"/>
  <c r="J26" i="19"/>
  <c r="L26" i="19" s="1"/>
  <c r="N26" i="19" s="1"/>
  <c r="I26" i="19"/>
  <c r="F26" i="19"/>
  <c r="R25" i="19"/>
  <c r="J25" i="19"/>
  <c r="L25" i="19" s="1"/>
  <c r="N25" i="19" s="1"/>
  <c r="I25" i="19"/>
  <c r="F25" i="19"/>
  <c r="R24" i="19"/>
  <c r="J24" i="19"/>
  <c r="L24" i="19" s="1"/>
  <c r="N24" i="19" s="1"/>
  <c r="I24" i="19"/>
  <c r="F24" i="19"/>
  <c r="R23" i="19"/>
  <c r="J23" i="19"/>
  <c r="L23" i="19" s="1"/>
  <c r="N23" i="19" s="1"/>
  <c r="I23" i="19"/>
  <c r="F23" i="19"/>
  <c r="R22" i="19"/>
  <c r="J22" i="19"/>
  <c r="L22" i="19" s="1"/>
  <c r="N22" i="19" s="1"/>
  <c r="I22" i="19"/>
  <c r="F22" i="19"/>
  <c r="R21" i="19"/>
  <c r="J21" i="19"/>
  <c r="L21" i="19" s="1"/>
  <c r="N21" i="19" s="1"/>
  <c r="I21" i="19"/>
  <c r="F21" i="19"/>
  <c r="R20" i="19"/>
  <c r="J20" i="19"/>
  <c r="L20" i="19" s="1"/>
  <c r="N20" i="19" s="1"/>
  <c r="I20" i="19"/>
  <c r="F20" i="19"/>
  <c r="R19" i="19"/>
  <c r="J19" i="19"/>
  <c r="L19" i="19" s="1"/>
  <c r="N19" i="19" s="1"/>
  <c r="I19" i="19"/>
  <c r="F19" i="19"/>
  <c r="R18" i="19"/>
  <c r="J18" i="19"/>
  <c r="L18" i="19" s="1"/>
  <c r="N18" i="19" s="1"/>
  <c r="I18" i="19"/>
  <c r="F18" i="19"/>
  <c r="R17" i="19"/>
  <c r="J17" i="19"/>
  <c r="L17" i="19" s="1"/>
  <c r="N17" i="19" s="1"/>
  <c r="I17" i="19"/>
  <c r="F17" i="19"/>
  <c r="R16" i="19"/>
  <c r="J16" i="19"/>
  <c r="L16" i="19" s="1"/>
  <c r="N16" i="19" s="1"/>
  <c r="I16" i="19"/>
  <c r="F16" i="19"/>
  <c r="R15" i="19"/>
  <c r="J15" i="19"/>
  <c r="L15" i="19" s="1"/>
  <c r="N15" i="19" s="1"/>
  <c r="I15" i="19"/>
  <c r="F15" i="19"/>
  <c r="R14" i="19"/>
  <c r="J14" i="19"/>
  <c r="L14" i="19" s="1"/>
  <c r="N14" i="19" s="1"/>
  <c r="I14" i="19"/>
  <c r="F14" i="19"/>
  <c r="R13" i="19"/>
  <c r="J13" i="19"/>
  <c r="L13" i="19" s="1"/>
  <c r="N13" i="19" s="1"/>
  <c r="I13" i="19"/>
  <c r="F13" i="19"/>
  <c r="R12" i="19"/>
  <c r="J12" i="19"/>
  <c r="L12" i="19" s="1"/>
  <c r="N12" i="19" s="1"/>
  <c r="I12" i="19"/>
  <c r="F12" i="19"/>
  <c r="R11" i="19"/>
  <c r="J11" i="19"/>
  <c r="L11" i="19" s="1"/>
  <c r="N11" i="19" s="1"/>
  <c r="I11" i="19"/>
  <c r="F11" i="19"/>
  <c r="R10" i="19"/>
  <c r="I10" i="19"/>
  <c r="J10" i="19" s="1"/>
  <c r="L10" i="19" s="1"/>
  <c r="N10" i="19" s="1"/>
  <c r="F10" i="19"/>
  <c r="R9" i="19"/>
  <c r="I9" i="19"/>
  <c r="J9" i="19" s="1"/>
  <c r="L9" i="19" s="1"/>
  <c r="N9" i="19" s="1"/>
  <c r="F9" i="19"/>
  <c r="R8" i="19"/>
  <c r="I8" i="19"/>
  <c r="J8" i="19" s="1"/>
  <c r="L8" i="19" s="1"/>
  <c r="N8" i="19" s="1"/>
  <c r="F8" i="19"/>
  <c r="R7" i="19"/>
  <c r="I7" i="19"/>
  <c r="J7" i="19" s="1"/>
  <c r="L7" i="19" s="1"/>
  <c r="N7" i="19" s="1"/>
  <c r="F7" i="19"/>
  <c r="R6" i="19"/>
  <c r="I6" i="19"/>
  <c r="J6" i="19" s="1"/>
  <c r="L6" i="19" s="1"/>
  <c r="N6" i="19" s="1"/>
  <c r="F6" i="19"/>
  <c r="R5" i="19"/>
  <c r="I5" i="19"/>
  <c r="J5" i="19" s="1"/>
  <c r="L5" i="19" s="1"/>
  <c r="N5" i="19" s="1"/>
  <c r="F5" i="19"/>
  <c r="I4" i="19"/>
  <c r="J4" i="19" s="1"/>
  <c r="F4" i="19"/>
  <c r="P2" i="19" s="1"/>
  <c r="R2" i="19"/>
  <c r="Q2" i="19"/>
  <c r="O2" i="19"/>
  <c r="M2" i="19"/>
  <c r="L2" i="19"/>
  <c r="K2" i="19"/>
  <c r="I49" i="18"/>
  <c r="J49" i="18" s="1"/>
  <c r="L49" i="18" s="1"/>
  <c r="N49" i="18" s="1"/>
  <c r="F49" i="18"/>
  <c r="J48" i="18"/>
  <c r="L48" i="18" s="1"/>
  <c r="N48" i="18" s="1"/>
  <c r="I48" i="18"/>
  <c r="F48" i="18"/>
  <c r="I47" i="18"/>
  <c r="J47" i="18" s="1"/>
  <c r="L47" i="18" s="1"/>
  <c r="N47" i="18" s="1"/>
  <c r="F47" i="18"/>
  <c r="I46" i="18"/>
  <c r="J46" i="18" s="1"/>
  <c r="L46" i="18" s="1"/>
  <c r="N46" i="18" s="1"/>
  <c r="F46" i="18"/>
  <c r="I45" i="18"/>
  <c r="J45" i="18" s="1"/>
  <c r="L45" i="18" s="1"/>
  <c r="N45" i="18" s="1"/>
  <c r="F45" i="18"/>
  <c r="I44" i="18"/>
  <c r="J44" i="18" s="1"/>
  <c r="L44" i="18" s="1"/>
  <c r="N44" i="18" s="1"/>
  <c r="F44" i="18"/>
  <c r="I43" i="18"/>
  <c r="J43" i="18" s="1"/>
  <c r="L43" i="18" s="1"/>
  <c r="N43" i="18" s="1"/>
  <c r="F43" i="18"/>
  <c r="I42" i="18"/>
  <c r="J42" i="18" s="1"/>
  <c r="L42" i="18" s="1"/>
  <c r="N42" i="18" s="1"/>
  <c r="F42" i="18"/>
  <c r="I41" i="18"/>
  <c r="J41" i="18" s="1"/>
  <c r="L41" i="18" s="1"/>
  <c r="N41" i="18" s="1"/>
  <c r="F41" i="18"/>
  <c r="I40" i="18"/>
  <c r="J40" i="18" s="1"/>
  <c r="L40" i="18" s="1"/>
  <c r="N40" i="18" s="1"/>
  <c r="F40" i="18"/>
  <c r="I39" i="18"/>
  <c r="J39" i="18" s="1"/>
  <c r="L39" i="18" s="1"/>
  <c r="N39" i="18" s="1"/>
  <c r="F39" i="18"/>
  <c r="I38" i="18"/>
  <c r="J38" i="18" s="1"/>
  <c r="L38" i="18" s="1"/>
  <c r="N38" i="18" s="1"/>
  <c r="F38" i="18"/>
  <c r="I37" i="18"/>
  <c r="J37" i="18" s="1"/>
  <c r="L37" i="18" s="1"/>
  <c r="N37" i="18" s="1"/>
  <c r="F37" i="18"/>
  <c r="I36" i="18"/>
  <c r="J36" i="18" s="1"/>
  <c r="L36" i="18" s="1"/>
  <c r="N36" i="18" s="1"/>
  <c r="F36" i="18"/>
  <c r="I35" i="18"/>
  <c r="J35" i="18" s="1"/>
  <c r="L35" i="18" s="1"/>
  <c r="N35" i="18" s="1"/>
  <c r="F35" i="18"/>
  <c r="I34" i="18"/>
  <c r="J34" i="18" s="1"/>
  <c r="L34" i="18" s="1"/>
  <c r="N34" i="18" s="1"/>
  <c r="F34" i="18"/>
  <c r="I33" i="18"/>
  <c r="J33" i="18" s="1"/>
  <c r="L33" i="18" s="1"/>
  <c r="N33" i="18" s="1"/>
  <c r="F33" i="18"/>
  <c r="R34" i="18"/>
  <c r="I32" i="18"/>
  <c r="J32" i="18" s="1"/>
  <c r="L32" i="18" s="1"/>
  <c r="N32" i="18" s="1"/>
  <c r="F32" i="18"/>
  <c r="I28" i="18"/>
  <c r="J28" i="18" s="1"/>
  <c r="L28" i="18" s="1"/>
  <c r="N28" i="18" s="1"/>
  <c r="F28" i="18"/>
  <c r="R27" i="18"/>
  <c r="I27" i="18"/>
  <c r="J27" i="18" s="1"/>
  <c r="L27" i="18" s="1"/>
  <c r="N27" i="18" s="1"/>
  <c r="F27" i="18"/>
  <c r="R26" i="18"/>
  <c r="I26" i="18"/>
  <c r="J26" i="18" s="1"/>
  <c r="L26" i="18" s="1"/>
  <c r="N26" i="18" s="1"/>
  <c r="F26" i="18"/>
  <c r="R25" i="18"/>
  <c r="I25" i="18"/>
  <c r="J25" i="18" s="1"/>
  <c r="L25" i="18" s="1"/>
  <c r="N25" i="18" s="1"/>
  <c r="F25" i="18"/>
  <c r="R24" i="18"/>
  <c r="I24" i="18"/>
  <c r="J24" i="18" s="1"/>
  <c r="L24" i="18" s="1"/>
  <c r="N24" i="18" s="1"/>
  <c r="F24" i="18"/>
  <c r="R23" i="18"/>
  <c r="I23" i="18"/>
  <c r="J23" i="18" s="1"/>
  <c r="L23" i="18" s="1"/>
  <c r="N23" i="18" s="1"/>
  <c r="F23" i="18"/>
  <c r="R22" i="18"/>
  <c r="I22" i="18"/>
  <c r="J22" i="18" s="1"/>
  <c r="L22" i="18" s="1"/>
  <c r="N22" i="18" s="1"/>
  <c r="F22" i="18"/>
  <c r="R21" i="18"/>
  <c r="I21" i="18"/>
  <c r="J21" i="18" s="1"/>
  <c r="L21" i="18" s="1"/>
  <c r="N21" i="18" s="1"/>
  <c r="F21" i="18"/>
  <c r="R20" i="18"/>
  <c r="I20" i="18"/>
  <c r="J20" i="18" s="1"/>
  <c r="L20" i="18" s="1"/>
  <c r="N20" i="18" s="1"/>
  <c r="F20" i="18"/>
  <c r="R19" i="18"/>
  <c r="I19" i="18"/>
  <c r="J19" i="18" s="1"/>
  <c r="L19" i="18" s="1"/>
  <c r="N19" i="18" s="1"/>
  <c r="F19" i="18"/>
  <c r="R18" i="18"/>
  <c r="I18" i="18"/>
  <c r="J18" i="18" s="1"/>
  <c r="L18" i="18" s="1"/>
  <c r="N18" i="18" s="1"/>
  <c r="F18" i="18"/>
  <c r="R17" i="18"/>
  <c r="I17" i="18"/>
  <c r="J17" i="18" s="1"/>
  <c r="L17" i="18" s="1"/>
  <c r="N17" i="18" s="1"/>
  <c r="F17" i="18"/>
  <c r="R16" i="18"/>
  <c r="I16" i="18"/>
  <c r="J16" i="18" s="1"/>
  <c r="L16" i="18" s="1"/>
  <c r="N16" i="18" s="1"/>
  <c r="F16" i="18"/>
  <c r="R15" i="18"/>
  <c r="I15" i="18"/>
  <c r="J15" i="18" s="1"/>
  <c r="L15" i="18" s="1"/>
  <c r="N15" i="18" s="1"/>
  <c r="F15" i="18"/>
  <c r="R14" i="18"/>
  <c r="I14" i="18"/>
  <c r="J14" i="18" s="1"/>
  <c r="L14" i="18" s="1"/>
  <c r="N14" i="18" s="1"/>
  <c r="F14" i="18"/>
  <c r="R13" i="18"/>
  <c r="I13" i="18"/>
  <c r="J13" i="18" s="1"/>
  <c r="L13" i="18" s="1"/>
  <c r="N13" i="18" s="1"/>
  <c r="F13" i="18"/>
  <c r="R12" i="18"/>
  <c r="I12" i="18"/>
  <c r="J12" i="18" s="1"/>
  <c r="L12" i="18" s="1"/>
  <c r="N12" i="18" s="1"/>
  <c r="F12" i="18"/>
  <c r="R11" i="18"/>
  <c r="I11" i="18"/>
  <c r="J11" i="18" s="1"/>
  <c r="L11" i="18" s="1"/>
  <c r="N11" i="18" s="1"/>
  <c r="F11" i="18"/>
  <c r="R10" i="18"/>
  <c r="I10" i="18"/>
  <c r="J10" i="18" s="1"/>
  <c r="L10" i="18" s="1"/>
  <c r="N10" i="18" s="1"/>
  <c r="F10" i="18"/>
  <c r="R9" i="18"/>
  <c r="I9" i="18"/>
  <c r="J9" i="18" s="1"/>
  <c r="L9" i="18" s="1"/>
  <c r="N9" i="18" s="1"/>
  <c r="F9" i="18"/>
  <c r="R8" i="18"/>
  <c r="I8" i="18"/>
  <c r="J8" i="18" s="1"/>
  <c r="L8" i="18" s="1"/>
  <c r="N8" i="18" s="1"/>
  <c r="F8" i="18"/>
  <c r="R6" i="18"/>
  <c r="I6" i="18"/>
  <c r="J6" i="18" s="1"/>
  <c r="L6" i="18" s="1"/>
  <c r="N6" i="18" s="1"/>
  <c r="F6" i="18"/>
  <c r="R5" i="18"/>
  <c r="I5" i="18"/>
  <c r="J5" i="18" s="1"/>
  <c r="L5" i="18" s="1"/>
  <c r="N5" i="18" s="1"/>
  <c r="F5" i="18"/>
  <c r="I4" i="18"/>
  <c r="J4" i="18" s="1"/>
  <c r="F4" i="18"/>
  <c r="O2" i="18"/>
  <c r="M2" i="18"/>
  <c r="L2" i="18"/>
  <c r="K2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L42" i="15"/>
  <c r="N42" i="15" s="1"/>
  <c r="J42" i="15"/>
  <c r="I42" i="15"/>
  <c r="F42" i="15"/>
  <c r="N41" i="15"/>
  <c r="L41" i="15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L38" i="15"/>
  <c r="N38" i="15" s="1"/>
  <c r="J38" i="15"/>
  <c r="I38" i="15"/>
  <c r="F38" i="15"/>
  <c r="N37" i="15"/>
  <c r="L37" i="15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N34" i="15"/>
  <c r="L34" i="15"/>
  <c r="J34" i="15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I30" i="15"/>
  <c r="J30" i="15" s="1"/>
  <c r="L30" i="15" s="1"/>
  <c r="N30" i="15" s="1"/>
  <c r="F30" i="15"/>
  <c r="J29" i="15"/>
  <c r="L29" i="15" s="1"/>
  <c r="N29" i="15" s="1"/>
  <c r="I29" i="15"/>
  <c r="F29" i="15"/>
  <c r="R28" i="15"/>
  <c r="R30" i="15" s="1"/>
  <c r="I28" i="15"/>
  <c r="J28" i="15" s="1"/>
  <c r="L28" i="15" s="1"/>
  <c r="N28" i="15" s="1"/>
  <c r="F28" i="15"/>
  <c r="R27" i="15"/>
  <c r="J27" i="15"/>
  <c r="L27" i="15" s="1"/>
  <c r="N27" i="15" s="1"/>
  <c r="I27" i="15"/>
  <c r="F27" i="15"/>
  <c r="R26" i="15"/>
  <c r="I26" i="15"/>
  <c r="J26" i="15" s="1"/>
  <c r="L26" i="15" s="1"/>
  <c r="N26" i="15" s="1"/>
  <c r="F26" i="15"/>
  <c r="R25" i="15"/>
  <c r="J25" i="15"/>
  <c r="L25" i="15" s="1"/>
  <c r="N25" i="15" s="1"/>
  <c r="I25" i="15"/>
  <c r="F25" i="15"/>
  <c r="R24" i="15"/>
  <c r="I24" i="15"/>
  <c r="J24" i="15" s="1"/>
  <c r="L24" i="15" s="1"/>
  <c r="N24" i="15" s="1"/>
  <c r="F24" i="15"/>
  <c r="R23" i="15"/>
  <c r="J23" i="15"/>
  <c r="L23" i="15" s="1"/>
  <c r="N23" i="15" s="1"/>
  <c r="I23" i="15"/>
  <c r="F23" i="15"/>
  <c r="R22" i="15"/>
  <c r="I22" i="15"/>
  <c r="J22" i="15" s="1"/>
  <c r="L22" i="15" s="1"/>
  <c r="N22" i="15" s="1"/>
  <c r="F22" i="15"/>
  <c r="R21" i="15"/>
  <c r="J21" i="15"/>
  <c r="L21" i="15" s="1"/>
  <c r="N21" i="15" s="1"/>
  <c r="I21" i="15"/>
  <c r="F21" i="15"/>
  <c r="R20" i="15"/>
  <c r="I20" i="15"/>
  <c r="J20" i="15" s="1"/>
  <c r="L20" i="15" s="1"/>
  <c r="N20" i="15" s="1"/>
  <c r="F20" i="15"/>
  <c r="R19" i="15"/>
  <c r="J19" i="15"/>
  <c r="L19" i="15" s="1"/>
  <c r="N19" i="15" s="1"/>
  <c r="I19" i="15"/>
  <c r="F19" i="15"/>
  <c r="R18" i="15"/>
  <c r="I18" i="15"/>
  <c r="J18" i="15" s="1"/>
  <c r="L18" i="15" s="1"/>
  <c r="N18" i="15" s="1"/>
  <c r="F18" i="15"/>
  <c r="R17" i="15"/>
  <c r="J17" i="15"/>
  <c r="L17" i="15" s="1"/>
  <c r="N17" i="15" s="1"/>
  <c r="I17" i="15"/>
  <c r="F17" i="15"/>
  <c r="R16" i="15"/>
  <c r="I16" i="15"/>
  <c r="J16" i="15" s="1"/>
  <c r="L16" i="15" s="1"/>
  <c r="N16" i="15" s="1"/>
  <c r="F16" i="15"/>
  <c r="R15" i="15"/>
  <c r="J15" i="15"/>
  <c r="L15" i="15" s="1"/>
  <c r="N15" i="15" s="1"/>
  <c r="I15" i="15"/>
  <c r="F15" i="15"/>
  <c r="R14" i="15"/>
  <c r="I14" i="15"/>
  <c r="J14" i="15" s="1"/>
  <c r="L14" i="15" s="1"/>
  <c r="N14" i="15" s="1"/>
  <c r="F14" i="15"/>
  <c r="R13" i="15"/>
  <c r="J13" i="15"/>
  <c r="L13" i="15" s="1"/>
  <c r="N13" i="15" s="1"/>
  <c r="I13" i="15"/>
  <c r="F13" i="15"/>
  <c r="R12" i="15"/>
  <c r="I12" i="15"/>
  <c r="J12" i="15" s="1"/>
  <c r="L12" i="15" s="1"/>
  <c r="N12" i="15" s="1"/>
  <c r="F12" i="15"/>
  <c r="R11" i="15"/>
  <c r="I11" i="15"/>
  <c r="J11" i="15" s="1"/>
  <c r="L11" i="15" s="1"/>
  <c r="N11" i="15" s="1"/>
  <c r="F11" i="15"/>
  <c r="R10" i="15"/>
  <c r="I10" i="15"/>
  <c r="J10" i="15" s="1"/>
  <c r="L10" i="15" s="1"/>
  <c r="N10" i="15" s="1"/>
  <c r="F10" i="15"/>
  <c r="R9" i="15"/>
  <c r="I9" i="15"/>
  <c r="J9" i="15" s="1"/>
  <c r="L9" i="15" s="1"/>
  <c r="N9" i="15" s="1"/>
  <c r="F9" i="15"/>
  <c r="R8" i="15"/>
  <c r="I8" i="15"/>
  <c r="J8" i="15" s="1"/>
  <c r="L8" i="15" s="1"/>
  <c r="N8" i="15" s="1"/>
  <c r="F8" i="15"/>
  <c r="R7" i="15"/>
  <c r="I7" i="15"/>
  <c r="J7" i="15" s="1"/>
  <c r="L7" i="15" s="1"/>
  <c r="N7" i="15" s="1"/>
  <c r="F7" i="15"/>
  <c r="R6" i="15"/>
  <c r="I6" i="15"/>
  <c r="J6" i="15" s="1"/>
  <c r="L6" i="15" s="1"/>
  <c r="N6" i="15" s="1"/>
  <c r="F6" i="15"/>
  <c r="R5" i="15"/>
  <c r="I5" i="15"/>
  <c r="J5" i="15" s="1"/>
  <c r="L5" i="15" s="1"/>
  <c r="N5" i="15" s="1"/>
  <c r="F5" i="15"/>
  <c r="I4" i="15"/>
  <c r="J4" i="15" s="1"/>
  <c r="F4" i="15"/>
  <c r="Q2" i="15"/>
  <c r="O2" i="15"/>
  <c r="M2" i="15"/>
  <c r="L2" i="15"/>
  <c r="K2" i="15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5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" i="14"/>
  <c r="R2" i="15" l="1"/>
  <c r="P2" i="15"/>
  <c r="L4" i="19"/>
  <c r="N4" i="19" s="1"/>
  <c r="R33" i="19" s="1"/>
  <c r="R35" i="19" s="1"/>
  <c r="N2" i="19"/>
  <c r="P2" i="18"/>
  <c r="L4" i="18"/>
  <c r="N4" i="18" s="1"/>
  <c r="R37" i="18" s="1"/>
  <c r="R39" i="18" s="1"/>
  <c r="N2" i="18"/>
  <c r="L4" i="15"/>
  <c r="N4" i="15" s="1"/>
  <c r="R33" i="15" s="1"/>
  <c r="R35" i="15" s="1"/>
  <c r="N2" i="15"/>
  <c r="R2" i="14"/>
  <c r="Q2" i="14"/>
  <c r="R28" i="14"/>
  <c r="R30" i="14" s="1"/>
  <c r="J34" i="14"/>
  <c r="L34" i="14" s="1"/>
  <c r="N34" i="14" s="1"/>
  <c r="J35" i="14"/>
  <c r="L35" i="14" s="1"/>
  <c r="N35" i="14" s="1"/>
  <c r="J36" i="14"/>
  <c r="L36" i="14" s="1"/>
  <c r="N36" i="14" s="1"/>
  <c r="J37" i="14"/>
  <c r="L37" i="14" s="1"/>
  <c r="N37" i="14" s="1"/>
  <c r="J38" i="14"/>
  <c r="L38" i="14" s="1"/>
  <c r="N38" i="14" s="1"/>
  <c r="J39" i="14"/>
  <c r="L39" i="14" s="1"/>
  <c r="N39" i="14" s="1"/>
  <c r="J40" i="14"/>
  <c r="L40" i="14" s="1"/>
  <c r="N40" i="14" s="1"/>
  <c r="J41" i="14"/>
  <c r="L41" i="14" s="1"/>
  <c r="N41" i="14" s="1"/>
  <c r="J45" i="14"/>
  <c r="L45" i="14" s="1"/>
  <c r="N45" i="14" s="1"/>
  <c r="K2" i="14"/>
  <c r="L2" i="14"/>
  <c r="M2" i="14"/>
  <c r="O2" i="14"/>
  <c r="F44" i="14"/>
  <c r="J44" i="14"/>
  <c r="L44" i="14" s="1"/>
  <c r="N44" i="14" s="1"/>
  <c r="F45" i="14"/>
  <c r="J42" i="14"/>
  <c r="L42" i="14"/>
  <c r="N42" i="14" s="1"/>
  <c r="J43" i="14"/>
  <c r="L43" i="14" s="1"/>
  <c r="N43" i="14" s="1"/>
  <c r="F34" i="14"/>
  <c r="F35" i="14"/>
  <c r="F36" i="14"/>
  <c r="F37" i="14"/>
  <c r="F38" i="14"/>
  <c r="F39" i="14"/>
  <c r="F40" i="14"/>
  <c r="F41" i="14"/>
  <c r="F42" i="14"/>
  <c r="F43" i="14"/>
  <c r="J18" i="14" l="1"/>
  <c r="L18" i="14" s="1"/>
  <c r="N18" i="14" s="1"/>
  <c r="J19" i="14"/>
  <c r="L19" i="14" s="1"/>
  <c r="N19" i="14" s="1"/>
  <c r="J20" i="14"/>
  <c r="L20" i="14" s="1"/>
  <c r="N20" i="14" s="1"/>
  <c r="J21" i="14"/>
  <c r="L21" i="14" s="1"/>
  <c r="N21" i="14" s="1"/>
  <c r="J22" i="14"/>
  <c r="L22" i="14" s="1"/>
  <c r="N22" i="14" s="1"/>
  <c r="J23" i="14"/>
  <c r="L23" i="14" s="1"/>
  <c r="N23" i="14" s="1"/>
  <c r="J24" i="14"/>
  <c r="L24" i="14" s="1"/>
  <c r="N24" i="14" s="1"/>
  <c r="J25" i="14"/>
  <c r="L25" i="14" s="1"/>
  <c r="N25" i="14" s="1"/>
  <c r="J26" i="14"/>
  <c r="L26" i="14" s="1"/>
  <c r="N26" i="14" s="1"/>
  <c r="J27" i="14"/>
  <c r="L27" i="14" s="1"/>
  <c r="N27" i="14" s="1"/>
  <c r="J28" i="14"/>
  <c r="L28" i="14" s="1"/>
  <c r="N28" i="14" s="1"/>
  <c r="J29" i="14"/>
  <c r="L29" i="14" s="1"/>
  <c r="N29" i="14" s="1"/>
  <c r="J30" i="14"/>
  <c r="L30" i="14" s="1"/>
  <c r="N30" i="14" s="1"/>
  <c r="J31" i="14"/>
  <c r="L31" i="14" s="1"/>
  <c r="N31" i="14" s="1"/>
  <c r="J32" i="14"/>
  <c r="L32" i="14" s="1"/>
  <c r="N32" i="14" s="1"/>
  <c r="J33" i="14"/>
  <c r="L33" i="14" s="1"/>
  <c r="N33" i="14" s="1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J17" i="14"/>
  <c r="L17" i="14" s="1"/>
  <c r="N17" i="14" s="1"/>
  <c r="F17" i="14"/>
  <c r="F11" i="14"/>
  <c r="F16" i="14"/>
  <c r="F12" i="14"/>
  <c r="J11" i="14"/>
  <c r="L11" i="14" s="1"/>
  <c r="N11" i="14" s="1"/>
  <c r="J10" i="14"/>
  <c r="L10" i="14" s="1"/>
  <c r="N10" i="14" s="1"/>
  <c r="F10" i="14"/>
  <c r="J9" i="14"/>
  <c r="L9" i="14" s="1"/>
  <c r="N9" i="14" s="1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F6" i="14"/>
  <c r="J5" i="14"/>
  <c r="L5" i="14" s="1"/>
  <c r="N5" i="14" s="1"/>
  <c r="J4" i="14"/>
  <c r="J16" i="14"/>
  <c r="L16" i="14" s="1"/>
  <c r="N16" i="14" s="1"/>
  <c r="J15" i="14"/>
  <c r="L15" i="14" s="1"/>
  <c r="N15" i="14" s="1"/>
  <c r="F15" i="14"/>
  <c r="J14" i="14"/>
  <c r="L14" i="14" s="1"/>
  <c r="N14" i="14" s="1"/>
  <c r="F14" i="14"/>
  <c r="J13" i="14"/>
  <c r="L13" i="14" s="1"/>
  <c r="N13" i="14" s="1"/>
  <c r="F13" i="14"/>
  <c r="J12" i="14"/>
  <c r="L12" i="14" s="1"/>
  <c r="N12" i="14" s="1"/>
  <c r="P2" i="14" l="1"/>
  <c r="N2" i="14"/>
  <c r="L4" i="14"/>
  <c r="N4" i="14" s="1"/>
  <c r="R33" i="14" l="1"/>
  <c r="R35" i="14" s="1"/>
</calcChain>
</file>

<file path=xl/sharedStrings.xml><?xml version="1.0" encoding="utf-8"?>
<sst xmlns="http://schemas.openxmlformats.org/spreadsheetml/2006/main" count="467" uniqueCount="128">
  <si>
    <t>NO.</t>
  </si>
  <si>
    <t>성별</t>
  </si>
  <si>
    <t>남</t>
  </si>
  <si>
    <t>회원명</t>
  </si>
  <si>
    <t>총 인원</t>
  </si>
  <si>
    <t>남은
세션</t>
  </si>
  <si>
    <t>이달의매출</t>
    <phoneticPr fontId="26" type="noConversion"/>
  </si>
  <si>
    <t>이름</t>
    <phoneticPr fontId="26" type="noConversion"/>
  </si>
  <si>
    <t>결제금액</t>
    <phoneticPr fontId="26" type="noConversion"/>
  </si>
  <si>
    <t>공금가액</t>
    <phoneticPr fontId="26" type="noConversion"/>
  </si>
  <si>
    <t>결제형태</t>
    <phoneticPr fontId="26" type="noConversion"/>
  </si>
  <si>
    <t>1회단가</t>
    <phoneticPr fontId="26" type="noConversion"/>
  </si>
  <si>
    <t>여</t>
    <phoneticPr fontId="26" type="noConversion"/>
  </si>
  <si>
    <t>매출대비%</t>
    <phoneticPr fontId="26" type="noConversion"/>
  </si>
  <si>
    <t>수업료</t>
    <phoneticPr fontId="26" type="noConversion"/>
  </si>
  <si>
    <t>등록비용</t>
    <phoneticPr fontId="26" type="noConversion"/>
  </si>
  <si>
    <t>인계 매출</t>
    <phoneticPr fontId="26" type="noConversion"/>
  </si>
  <si>
    <t>총 매출</t>
    <phoneticPr fontId="26" type="noConversion"/>
  </si>
  <si>
    <t>PT개인매출</t>
    <phoneticPr fontId="26" type="noConversion"/>
  </si>
  <si>
    <t>880만원달성 매출급여 120만원 45%</t>
  </si>
  <si>
    <t>당월
진행세션</t>
    <phoneticPr fontId="26" type="noConversion"/>
  </si>
  <si>
    <t>등록세션</t>
    <phoneticPr fontId="26" type="noConversion"/>
  </si>
  <si>
    <t>(공급가)</t>
    <phoneticPr fontId="26" type="noConversion"/>
  </si>
  <si>
    <t>총 급여</t>
    <phoneticPr fontId="26" type="noConversion"/>
  </si>
  <si>
    <t xml:space="preserve">기본급+인센티브(11일) </t>
    <phoneticPr fontId="26" type="noConversion"/>
  </si>
  <si>
    <t>수업료(16일)</t>
    <phoneticPr fontId="26" type="noConversion"/>
  </si>
  <si>
    <t>작성자</t>
    <phoneticPr fontId="26" type="noConversion"/>
  </si>
  <si>
    <t>기준 월</t>
    <phoneticPr fontId="26" type="noConversion"/>
  </si>
  <si>
    <t>단가 평균</t>
    <phoneticPr fontId="26" type="noConversion"/>
  </si>
  <si>
    <t>수업료</t>
    <phoneticPr fontId="26" type="noConversion"/>
  </si>
  <si>
    <t>총 수업수</t>
    <phoneticPr fontId="26" type="noConversion"/>
  </si>
  <si>
    <t>잔여세션</t>
    <phoneticPr fontId="26" type="noConversion"/>
  </si>
  <si>
    <t>PAYROLL</t>
    <phoneticPr fontId="26" type="noConversion"/>
  </si>
  <si>
    <t>결제
형태</t>
    <phoneticPr fontId="26" type="noConversion"/>
  </si>
  <si>
    <t>개인매출/VAT</t>
    <phoneticPr fontId="26" type="noConversion"/>
  </si>
  <si>
    <t>개인매출</t>
    <phoneticPr fontId="26" type="noConversion"/>
  </si>
  <si>
    <t>현금</t>
    <phoneticPr fontId="26" type="noConversion"/>
  </si>
  <si>
    <t>카드</t>
    <phoneticPr fontId="26" type="noConversion"/>
  </si>
  <si>
    <t>총 진행
세션</t>
    <phoneticPr fontId="26" type="noConversion"/>
  </si>
  <si>
    <t>605만원달성 매출급여 105만원 40%</t>
    <phoneticPr fontId="26" type="noConversion"/>
  </si>
  <si>
    <t>440만원달성 매출급여 90만원 35%</t>
    <phoneticPr fontId="26" type="noConversion"/>
  </si>
  <si>
    <t>1100만원달성 매출급여 135만원 50%</t>
    <phoneticPr fontId="26" type="noConversion"/>
  </si>
  <si>
    <t>1320만원달성 매출급여 160만원 50%</t>
    <phoneticPr fontId="26" type="noConversion"/>
  </si>
  <si>
    <t>1540만원달성 매출급여 180만원 50%</t>
    <phoneticPr fontId="26" type="noConversion"/>
  </si>
  <si>
    <t>1760만원달성 매출급여 200만원 50%</t>
    <phoneticPr fontId="26" type="noConversion"/>
  </si>
  <si>
    <t>1980만원달성 매출급여 220만원 50%</t>
    <phoneticPr fontId="26" type="noConversion"/>
  </si>
  <si>
    <t>2200만원달성 매출급여 240만원 50%</t>
    <phoneticPr fontId="26" type="noConversion"/>
  </si>
  <si>
    <t>김혜연</t>
    <phoneticPr fontId="26" type="noConversion"/>
  </si>
  <si>
    <t>권영란</t>
    <phoneticPr fontId="26" type="noConversion"/>
  </si>
  <si>
    <t>고준혁</t>
    <phoneticPr fontId="26" type="noConversion"/>
  </si>
  <si>
    <t>남</t>
    <phoneticPr fontId="26" type="noConversion"/>
  </si>
  <si>
    <t>송은아</t>
    <phoneticPr fontId="26" type="noConversion"/>
  </si>
  <si>
    <t>이윤지</t>
    <phoneticPr fontId="26" type="noConversion"/>
  </si>
  <si>
    <t>정진희</t>
    <phoneticPr fontId="26" type="noConversion"/>
  </si>
  <si>
    <t>진우섭</t>
    <phoneticPr fontId="26" type="noConversion"/>
  </si>
  <si>
    <t>배순림</t>
    <phoneticPr fontId="26" type="noConversion"/>
  </si>
  <si>
    <t>이선영</t>
    <phoneticPr fontId="26" type="noConversion"/>
  </si>
  <si>
    <t>김윤성</t>
    <phoneticPr fontId="26" type="noConversion"/>
  </si>
  <si>
    <t>송지현</t>
    <phoneticPr fontId="26" type="noConversion"/>
  </si>
  <si>
    <t>김현</t>
    <phoneticPr fontId="26" type="noConversion"/>
  </si>
  <si>
    <t>김채은</t>
    <phoneticPr fontId="26" type="noConversion"/>
  </si>
  <si>
    <t>계좌</t>
    <phoneticPr fontId="26" type="noConversion"/>
  </si>
  <si>
    <t xml:space="preserve">기본급+인센티브(10일) </t>
    <phoneticPr fontId="26" type="noConversion"/>
  </si>
  <si>
    <t>수업료(12일)</t>
    <phoneticPr fontId="26" type="noConversion"/>
  </si>
  <si>
    <t>양주은</t>
    <phoneticPr fontId="26" type="noConversion"/>
  </si>
  <si>
    <t>정지선</t>
    <phoneticPr fontId="26" type="noConversion"/>
  </si>
  <si>
    <t>주현성</t>
    <phoneticPr fontId="26" type="noConversion"/>
  </si>
  <si>
    <t>김아린</t>
    <phoneticPr fontId="26" type="noConversion"/>
  </si>
  <si>
    <t>정유라</t>
    <phoneticPr fontId="26" type="noConversion"/>
  </si>
  <si>
    <t>김진원</t>
    <phoneticPr fontId="26" type="noConversion"/>
  </si>
  <si>
    <t>이경림</t>
    <phoneticPr fontId="26" type="noConversion"/>
  </si>
  <si>
    <t>정욱</t>
    <phoneticPr fontId="26" type="noConversion"/>
  </si>
  <si>
    <t>김주홍</t>
    <phoneticPr fontId="26" type="noConversion"/>
  </si>
  <si>
    <t>김영훈</t>
    <phoneticPr fontId="26" type="noConversion"/>
  </si>
  <si>
    <t>김은진</t>
    <phoneticPr fontId="26" type="noConversion"/>
  </si>
  <si>
    <t>최진솔</t>
    <phoneticPr fontId="26" type="noConversion"/>
  </si>
  <si>
    <t>양다미</t>
    <phoneticPr fontId="26" type="noConversion"/>
  </si>
  <si>
    <t>나미라</t>
    <phoneticPr fontId="26" type="noConversion"/>
  </si>
  <si>
    <t>김지선</t>
    <phoneticPr fontId="26" type="noConversion"/>
  </si>
  <si>
    <t>김현서</t>
    <phoneticPr fontId="26" type="noConversion"/>
  </si>
  <si>
    <t>김수민</t>
    <phoneticPr fontId="26" type="noConversion"/>
  </si>
  <si>
    <t>백경락</t>
    <phoneticPr fontId="26" type="noConversion"/>
  </si>
  <si>
    <t>윤영문</t>
    <phoneticPr fontId="26" type="noConversion"/>
  </si>
  <si>
    <t>김세진</t>
    <phoneticPr fontId="26" type="noConversion"/>
  </si>
  <si>
    <t>윤지호</t>
    <phoneticPr fontId="26" type="noConversion"/>
  </si>
  <si>
    <t>조수안</t>
    <phoneticPr fontId="26" type="noConversion"/>
  </si>
  <si>
    <t>허송이</t>
    <phoneticPr fontId="26" type="noConversion"/>
  </si>
  <si>
    <t>김승현</t>
    <phoneticPr fontId="26" type="noConversion"/>
  </si>
  <si>
    <t>김동현</t>
    <phoneticPr fontId="26" type="noConversion"/>
  </si>
  <si>
    <t>정보윤</t>
    <phoneticPr fontId="26" type="noConversion"/>
  </si>
  <si>
    <t>안세림</t>
    <phoneticPr fontId="26" type="noConversion"/>
  </si>
  <si>
    <t>유현지</t>
    <phoneticPr fontId="26" type="noConversion"/>
  </si>
  <si>
    <t>윤아름</t>
    <phoneticPr fontId="26" type="noConversion"/>
  </si>
  <si>
    <t>조형선</t>
    <phoneticPr fontId="26" type="noConversion"/>
  </si>
  <si>
    <t>손영은</t>
    <phoneticPr fontId="26" type="noConversion"/>
  </si>
  <si>
    <t>서유진</t>
    <phoneticPr fontId="26" type="noConversion"/>
  </si>
  <si>
    <t>황보라</t>
    <phoneticPr fontId="26" type="noConversion"/>
  </si>
  <si>
    <t>안지훈</t>
    <phoneticPr fontId="26" type="noConversion"/>
  </si>
  <si>
    <t>송아현</t>
    <phoneticPr fontId="26" type="noConversion"/>
  </si>
  <si>
    <t>류아연</t>
    <phoneticPr fontId="26" type="noConversion"/>
  </si>
  <si>
    <t>최명호</t>
    <phoneticPr fontId="26" type="noConversion"/>
  </si>
  <si>
    <t>김대중</t>
    <phoneticPr fontId="26" type="noConversion"/>
  </si>
  <si>
    <t>이연지</t>
    <phoneticPr fontId="26" type="noConversion"/>
  </si>
  <si>
    <t>김지현</t>
    <phoneticPr fontId="26" type="noConversion"/>
  </si>
  <si>
    <t xml:space="preserve"> 박종호</t>
    <phoneticPr fontId="26" type="noConversion"/>
  </si>
  <si>
    <t>이준수</t>
    <phoneticPr fontId="26" type="noConversion"/>
  </si>
  <si>
    <t>3월</t>
    <phoneticPr fontId="26" type="noConversion"/>
  </si>
  <si>
    <t>김여진</t>
    <phoneticPr fontId="26" type="noConversion"/>
  </si>
  <si>
    <t>김경민</t>
    <phoneticPr fontId="26" type="noConversion"/>
  </si>
  <si>
    <t>김현숙</t>
    <phoneticPr fontId="26" type="noConversion"/>
  </si>
  <si>
    <t>김현정</t>
    <phoneticPr fontId="26" type="noConversion"/>
  </si>
  <si>
    <t>카드+계좌</t>
    <phoneticPr fontId="26" type="noConversion"/>
  </si>
  <si>
    <t>배혜린</t>
    <phoneticPr fontId="26" type="noConversion"/>
  </si>
  <si>
    <t>김희성</t>
    <phoneticPr fontId="26" type="noConversion"/>
  </si>
  <si>
    <t>장도하</t>
    <phoneticPr fontId="26" type="noConversion"/>
  </si>
  <si>
    <t>추연미</t>
    <phoneticPr fontId="26" type="noConversion"/>
  </si>
  <si>
    <t>김현우</t>
    <phoneticPr fontId="26" type="noConversion"/>
  </si>
  <si>
    <t>김승윤</t>
    <phoneticPr fontId="26" type="noConversion"/>
  </si>
  <si>
    <t>박남주</t>
    <phoneticPr fontId="26" type="noConversion"/>
  </si>
  <si>
    <t>김윤하</t>
    <phoneticPr fontId="26" type="noConversion"/>
  </si>
  <si>
    <t>김수철</t>
    <phoneticPr fontId="26" type="noConversion"/>
  </si>
  <si>
    <t>나윤영</t>
    <phoneticPr fontId="26" type="noConversion"/>
  </si>
  <si>
    <t>조혜선</t>
    <phoneticPr fontId="26" type="noConversion"/>
  </si>
  <si>
    <t>박지은</t>
    <phoneticPr fontId="26" type="noConversion"/>
  </si>
  <si>
    <t>정은이</t>
    <phoneticPr fontId="26" type="noConversion"/>
  </si>
  <si>
    <t>전민진</t>
    <phoneticPr fontId="26" type="noConversion"/>
  </si>
  <si>
    <t>한길수</t>
    <phoneticPr fontId="26" type="noConversion"/>
  </si>
  <si>
    <t>박형선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</si>
</sst>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4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75">
    <xf numFmtId="0" fontId="0" fillId="0" borderId="0">
      <alignment vertical="center"/>
    </xf>
    <xf numFmtId="41" fontId="2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41" fontId="18" fillId="0" borderId="0">
      <alignment vertical="center"/>
    </xf>
    <xf numFmtId="0" fontId="18" fillId="0" borderId="0">
      <alignment vertical="center"/>
    </xf>
    <xf numFmtId="41" fontId="18" fillId="0" borderId="0">
      <alignment vertical="center"/>
    </xf>
    <xf numFmtId="0" fontId="18" fillId="8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18" fillId="8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10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0" fontId="36" fillId="9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41" fontId="18" fillId="0" borderId="0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37" fillId="11" borderId="5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4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2">
      <alignment vertical="center"/>
    </xf>
    <xf numFmtId="0" fontId="33" fillId="0" borderId="1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19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0" xfId="3">
      <alignment vertical="center"/>
    </xf>
    <xf numFmtId="0" fontId="38" fillId="6" borderId="1" xfId="0" applyFont="1" applyFill="1" applyBorder="1" applyAlignment="1">
      <alignment horizontal="center" vertical="center"/>
    </xf>
    <xf numFmtId="0" fontId="10" fillId="6" borderId="1" xfId="62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right" vertical="center"/>
    </xf>
    <xf numFmtId="0" fontId="9" fillId="6" borderId="1" xfId="62" applyFont="1" applyFill="1" applyBorder="1" applyAlignment="1">
      <alignment horizontal="center" vertical="center"/>
    </xf>
    <xf numFmtId="0" fontId="8" fillId="6" borderId="1" xfId="62" applyFont="1" applyFill="1" applyBorder="1" applyAlignment="1">
      <alignment horizontal="center" vertical="center"/>
    </xf>
    <xf numFmtId="0" fontId="13" fillId="6" borderId="1" xfId="62" applyFont="1" applyFill="1" applyBorder="1" applyAlignment="1">
      <alignment horizontal="center" vertical="center"/>
    </xf>
    <xf numFmtId="0" fontId="11" fillId="6" borderId="1" xfId="62" applyFont="1" applyFill="1" applyBorder="1" applyAlignment="1">
      <alignment horizontal="center" vertical="center"/>
    </xf>
    <xf numFmtId="0" fontId="7" fillId="6" borderId="1" xfId="62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 wrapText="1"/>
    </xf>
    <xf numFmtId="0" fontId="6" fillId="0" borderId="1" xfId="62" applyFont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10" fillId="0" borderId="1" xfId="62" applyFont="1" applyBorder="1" applyAlignment="1">
      <alignment horizontal="center" vertical="center"/>
    </xf>
    <xf numFmtId="0" fontId="8" fillId="0" borderId="1" xfId="62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3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41" fontId="25" fillId="2" borderId="1" xfId="1" applyFill="1" applyBorder="1">
      <alignment vertical="center"/>
    </xf>
    <xf numFmtId="0" fontId="21" fillId="0" borderId="2" xfId="0" applyFont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41" fontId="25" fillId="2" borderId="2" xfId="1" applyFill="1" applyBorder="1">
      <alignment vertical="center"/>
    </xf>
    <xf numFmtId="0" fontId="33" fillId="6" borderId="4" xfId="0" applyFont="1" applyFill="1" applyBorder="1" applyAlignment="1">
      <alignment horizontal="center" vertical="center"/>
    </xf>
    <xf numFmtId="0" fontId="41" fillId="12" borderId="6" xfId="0" applyFont="1" applyFill="1" applyBorder="1" applyAlignment="1">
      <alignment horizontal="center" vertical="center"/>
    </xf>
    <xf numFmtId="0" fontId="41" fillId="12" borderId="6" xfId="0" applyFont="1" applyFill="1" applyBorder="1" applyAlignment="1">
      <alignment horizontal="center" vertical="center" wrapText="1"/>
    </xf>
    <xf numFmtId="0" fontId="41" fillId="12" borderId="8" xfId="0" applyFont="1" applyFill="1" applyBorder="1" applyAlignment="1">
      <alignment horizontal="center" vertical="center" wrapText="1"/>
    </xf>
    <xf numFmtId="176" fontId="41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2" fillId="12" borderId="6" xfId="2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 wrapText="1"/>
    </xf>
    <xf numFmtId="179" fontId="31" fillId="2" borderId="6" xfId="0" applyNumberFormat="1" applyFont="1" applyFill="1" applyBorder="1" applyAlignment="1">
      <alignment horizontal="center" vertical="center"/>
    </xf>
    <xf numFmtId="41" fontId="39" fillId="2" borderId="6" xfId="2" applyNumberFormat="1" applyFont="1" applyFill="1" applyBorder="1">
      <alignment vertical="center"/>
    </xf>
    <xf numFmtId="0" fontId="39" fillId="2" borderId="7" xfId="2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1" fillId="2" borderId="6" xfId="2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41" fontId="5" fillId="0" borderId="6" xfId="6" applyNumberFormat="1" applyFont="1" applyFill="1" applyBorder="1" applyAlignment="1">
      <alignment horizontal="center" vertical="center"/>
    </xf>
    <xf numFmtId="41" fontId="13" fillId="0" borderId="6" xfId="6" applyNumberFormat="1" applyFont="1" applyFill="1" applyBorder="1">
      <alignment vertical="center"/>
    </xf>
    <xf numFmtId="41" fontId="17" fillId="0" borderId="6" xfId="6" applyNumberFormat="1" applyFont="1" applyFill="1" applyBorder="1">
      <alignment vertical="center"/>
    </xf>
    <xf numFmtId="41" fontId="12" fillId="0" borderId="6" xfId="6" applyNumberFormat="1" applyFont="1" applyFill="1" applyBorder="1" applyAlignment="1">
      <alignment horizontal="center" vertical="center"/>
    </xf>
    <xf numFmtId="41" fontId="12" fillId="0" borderId="6" xfId="6" applyNumberFormat="1" applyFont="1" applyFill="1" applyBorder="1">
      <alignment vertical="center"/>
    </xf>
    <xf numFmtId="41" fontId="16" fillId="0" borderId="6" xfId="6" applyNumberFormat="1" applyFont="1" applyFill="1" applyBorder="1" applyAlignment="1">
      <alignment horizontal="center" vertical="center"/>
    </xf>
    <xf numFmtId="41" fontId="15" fillId="0" borderId="6" xfId="6" applyNumberFormat="1" applyFont="1" applyFill="1" applyBorder="1">
      <alignment vertical="center"/>
    </xf>
    <xf numFmtId="41" fontId="32" fillId="0" borderId="6" xfId="6" applyNumberFormat="1" applyFont="1" applyFill="1" applyBorder="1" applyAlignment="1">
      <alignment horizontal="center" vertical="center"/>
    </xf>
    <xf numFmtId="41" fontId="29" fillId="0" borderId="6" xfId="7" applyNumberFormat="1" applyFont="1" applyFill="1" applyBorder="1" applyAlignment="1">
      <alignment horizontal="center" vertical="center"/>
    </xf>
    <xf numFmtId="41" fontId="29" fillId="0" borderId="6" xfId="7" applyNumberFormat="1" applyFont="1" applyFill="1" applyBorder="1">
      <alignment vertical="center"/>
    </xf>
    <xf numFmtId="178" fontId="29" fillId="0" borderId="6" xfId="7" applyNumberFormat="1" applyFont="1" applyFill="1" applyBorder="1">
      <alignment vertical="center"/>
    </xf>
    <xf numFmtId="41" fontId="18" fillId="6" borderId="6" xfId="10" applyFill="1" applyBorder="1" applyAlignment="1">
      <alignment horizontal="center" vertical="center"/>
    </xf>
    <xf numFmtId="41" fontId="18" fillId="6" borderId="6" xfId="10" applyFill="1" applyBorder="1">
      <alignment vertical="center"/>
    </xf>
    <xf numFmtId="0" fontId="21" fillId="0" borderId="6" xfId="2" applyFont="1" applyBorder="1" applyAlignment="1">
      <alignment horizontal="center" vertical="center"/>
    </xf>
    <xf numFmtId="42" fontId="35" fillId="5" borderId="6" xfId="4" applyNumberFormat="1" applyFont="1" applyFill="1" applyBorder="1">
      <alignment vertical="center"/>
    </xf>
    <xf numFmtId="42" fontId="21" fillId="2" borderId="2" xfId="0" applyNumberFormat="1" applyFont="1" applyFill="1" applyBorder="1" applyAlignment="1">
      <alignment horizontal="center" vertical="center"/>
    </xf>
    <xf numFmtId="42" fontId="30" fillId="5" borderId="6" xfId="0" applyNumberFormat="1" applyFont="1" applyFill="1" applyBorder="1" applyAlignment="1">
      <alignment horizontal="center" vertical="center"/>
    </xf>
    <xf numFmtId="42" fontId="33" fillId="0" borderId="2" xfId="0" applyNumberFormat="1" applyFont="1" applyBorder="1" applyAlignment="1">
      <alignment horizontal="center" vertical="center"/>
    </xf>
    <xf numFmtId="42" fontId="33" fillId="0" borderId="1" xfId="0" applyNumberFormat="1" applyFont="1" applyBorder="1" applyAlignment="1">
      <alignment horizontal="center" vertical="center"/>
    </xf>
    <xf numFmtId="42" fontId="21" fillId="0" borderId="1" xfId="0" applyNumberFormat="1" applyFont="1" applyBorder="1" applyAlignment="1">
      <alignment horizontal="center" vertical="center"/>
    </xf>
    <xf numFmtId="42" fontId="21" fillId="6" borderId="1" xfId="0" applyNumberFormat="1" applyFont="1" applyFill="1" applyBorder="1" applyAlignment="1">
      <alignment horizontal="center" vertical="center"/>
    </xf>
    <xf numFmtId="42" fontId="25" fillId="2" borderId="2" xfId="1" applyNumberFormat="1" applyFill="1" applyBorder="1">
      <alignment vertical="center"/>
    </xf>
    <xf numFmtId="42" fontId="25" fillId="2" borderId="1" xfId="1" applyNumberFormat="1" applyFill="1" applyBorder="1">
      <alignment vertical="center"/>
    </xf>
    <xf numFmtId="42" fontId="25" fillId="2" borderId="4" xfId="1" applyNumberFormat="1" applyFill="1" applyBorder="1">
      <alignment vertical="center"/>
    </xf>
    <xf numFmtId="42" fontId="25" fillId="2" borderId="3" xfId="1" applyNumberFormat="1" applyFill="1" applyBorder="1">
      <alignment vertical="center"/>
    </xf>
    <xf numFmtId="9" fontId="42" fillId="12" borderId="6" xfId="2" applyNumberFormat="1" applyFont="1" applyFill="1" applyBorder="1" applyAlignment="1">
      <alignment horizontal="center" vertical="center"/>
    </xf>
    <xf numFmtId="42" fontId="19" fillId="2" borderId="6" xfId="2" applyNumberFormat="1" applyFill="1" applyBorder="1">
      <alignment vertical="center"/>
    </xf>
    <xf numFmtId="10" fontId="34" fillId="13" borderId="2" xfId="5" applyNumberFormat="1" applyFont="1" applyFill="1" applyBorder="1" applyAlignment="1">
      <alignment horizontal="center" vertical="center"/>
    </xf>
    <xf numFmtId="10" fontId="34" fillId="13" borderId="1" xfId="5" applyNumberFormat="1" applyFont="1" applyFill="1" applyBorder="1" applyAlignment="1">
      <alignment horizontal="center" vertical="center"/>
    </xf>
    <xf numFmtId="0" fontId="4" fillId="6" borderId="2" xfId="62" applyFont="1" applyFill="1" applyBorder="1" applyAlignment="1">
      <alignment horizontal="center" vertical="center"/>
    </xf>
    <xf numFmtId="0" fontId="4" fillId="6" borderId="1" xfId="62" applyFont="1" applyFill="1" applyBorder="1" applyAlignment="1">
      <alignment horizontal="center" vertical="center"/>
    </xf>
    <xf numFmtId="0" fontId="3" fillId="6" borderId="2" xfId="62" applyFont="1" applyFill="1" applyBorder="1" applyAlignment="1">
      <alignment horizontal="center" vertical="center"/>
    </xf>
    <xf numFmtId="0" fontId="3" fillId="6" borderId="1" xfId="62" applyFont="1" applyFill="1" applyBorder="1" applyAlignment="1">
      <alignment horizontal="center" vertical="center"/>
    </xf>
    <xf numFmtId="0" fontId="3" fillId="0" borderId="1" xfId="62" applyFont="1" applyBorder="1" applyAlignment="1">
      <alignment horizontal="center" vertical="center" wrapText="1"/>
    </xf>
    <xf numFmtId="0" fontId="2" fillId="6" borderId="1" xfId="62" applyFont="1" applyFill="1" applyBorder="1" applyAlignment="1">
      <alignment horizontal="center" vertical="center"/>
    </xf>
    <xf numFmtId="0" fontId="19" fillId="0" borderId="0" xfId="2" applyAlignment="1">
      <alignment horizontal="center" vertical="center"/>
    </xf>
    <xf numFmtId="0" fontId="44" fillId="12" borderId="6" xfId="2" applyFont="1" applyFill="1" applyBorder="1" applyAlignment="1">
      <alignment horizontal="center" vertical="center"/>
    </xf>
    <xf numFmtId="42" fontId="46" fillId="2" borderId="6" xfId="0" applyNumberFormat="1" applyFont="1" applyFill="1" applyBorder="1" applyAlignment="1">
      <alignment horizontal="center" vertical="center"/>
    </xf>
    <xf numFmtId="0" fontId="45" fillId="13" borderId="6" xfId="0" applyFont="1" applyFill="1" applyBorder="1" applyAlignment="1">
      <alignment horizontal="center" vertical="center"/>
    </xf>
    <xf numFmtId="0" fontId="19" fillId="0" borderId="0" xfId="3">
      <alignment vertical="center"/>
    </xf>
    <xf numFmtId="42" fontId="46" fillId="2" borderId="6" xfId="1" applyNumberFormat="1" applyFont="1" applyFill="1" applyBorder="1" applyAlignment="1">
      <alignment horizontal="center" vertical="center"/>
    </xf>
    <xf numFmtId="42" fontId="46" fillId="13" borderId="6" xfId="1" applyNumberFormat="1" applyFont="1" applyFill="1" applyBorder="1" applyAlignment="1">
      <alignment horizontal="center" vertical="center"/>
    </xf>
    <xf numFmtId="0" fontId="40" fillId="12" borderId="6" xfId="0" applyFont="1" applyFill="1" applyBorder="1" applyAlignment="1">
      <alignment horizontal="center" vertical="center"/>
    </xf>
    <xf numFmtId="0" fontId="40" fillId="12" borderId="7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" fillId="6" borderId="2" xfId="62" applyFont="1" applyFill="1" applyBorder="1" applyAlignment="1">
      <alignment horizontal="center" vertical="center"/>
    </xf>
    <xf numFmtId="0" fontId="1" fillId="6" borderId="1" xfId="62" applyFont="1" applyFill="1" applyBorder="1" applyAlignment="1">
      <alignment horizontal="center" vertical="center"/>
    </xf>
    <xf numFmtId="0" fontId="1" fillId="0" borderId="1" xfId="62" applyFont="1" applyBorder="1" applyAlignment="1">
      <alignment horizontal="center" vertical="center" wrapText="1"/>
    </xf>
    <xf numFmtId="0" fontId="1" fillId="0" borderId="1" xfId="62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  <xf numFmtId="41" fontId="31" fillId="0" borderId="6" xfId="6" applyNumberFormat="1" applyFont="1" applyFill="1" applyBorder="1" applyAlignment="1">
      <alignment horizontal="center" vertical="center"/>
    </xf>
  </cellXfs>
  <cellStyles count="75">
    <cellStyle name="40% - 강조색6 2" xfId="13" xr:uid="{00000000-0005-0000-0000-000000000000}"/>
    <cellStyle name="40% - 강조색6 2 2" xfId="14" xr:uid="{00000000-0005-0000-0000-000001000000}"/>
    <cellStyle name="40% - 강조색6 2 3" xfId="15" xr:uid="{00000000-0005-0000-0000-000002000000}"/>
    <cellStyle name="40% - 강조색6 2 4" xfId="16" xr:uid="{00000000-0005-0000-0000-000003000000}"/>
    <cellStyle name="40% - 강조색6 2 5" xfId="17" xr:uid="{00000000-0005-0000-0000-000004000000}"/>
    <cellStyle name="40% - 강조색6 2 6" xfId="18" xr:uid="{00000000-0005-0000-0000-000005000000}"/>
    <cellStyle name="40% - 강조색6 2 7" xfId="19" xr:uid="{00000000-0005-0000-0000-000006000000}"/>
    <cellStyle name="40% - 강조색6 2 8" xfId="20" xr:uid="{00000000-0005-0000-0000-000007000000}"/>
    <cellStyle name="40% - 강조색6 2 9" xfId="21" xr:uid="{00000000-0005-0000-0000-000008000000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쉼표 [0]" xfId="1" builtinId="6"/>
    <cellStyle name="쉼표 [0] 2" xfId="10" xr:uid="{00000000-0005-0000-0000-000020000000}"/>
    <cellStyle name="쉼표 [0] 2 2" xfId="41" xr:uid="{00000000-0005-0000-0000-000021000000}"/>
    <cellStyle name="쉼표 [0] 2 3" xfId="42" xr:uid="{00000000-0005-0000-0000-000022000000}"/>
    <cellStyle name="쉼표 [0] 2 4" xfId="43" xr:uid="{00000000-0005-0000-0000-000023000000}"/>
    <cellStyle name="쉼표 [0] 2 5" xfId="44" xr:uid="{00000000-0005-0000-0000-000024000000}"/>
    <cellStyle name="쉼표 [0] 2 6" xfId="45" xr:uid="{00000000-0005-0000-0000-000025000000}"/>
    <cellStyle name="쉼표 [0] 2 7" xfId="46" xr:uid="{00000000-0005-0000-0000-000026000000}"/>
    <cellStyle name="쉼표 [0] 2 8" xfId="47" xr:uid="{00000000-0005-0000-0000-000027000000}"/>
    <cellStyle name="쉼표 [0] 2 9" xfId="48" xr:uid="{00000000-0005-0000-0000-000028000000}"/>
    <cellStyle name="쉼표 [0] 3" xfId="12" xr:uid="{00000000-0005-0000-0000-000029000000}"/>
    <cellStyle name="쉼표 [0] 4" xfId="49" xr:uid="{00000000-0005-0000-0000-00002A000000}"/>
    <cellStyle name="쉼표 [0] 5" xfId="74" xr:uid="{00000000-0005-0000-0000-00002B000000}"/>
    <cellStyle name="쉼표 [0] 6" xfId="50" xr:uid="{00000000-0005-0000-0000-00002C000000}"/>
    <cellStyle name="쉼표 [0] 7" xfId="51" xr:uid="{00000000-0005-0000-0000-00002D000000}"/>
    <cellStyle name="쉼표 [0] 9" xfId="52" xr:uid="{00000000-0005-0000-0000-00002E000000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3" xfId="63" xr:uid="{00000000-0005-0000-0000-00003C000000}"/>
    <cellStyle name="표준 2 4" xfId="64" xr:uid="{00000000-0005-0000-0000-00003D000000}"/>
    <cellStyle name="표준 2 5" xfId="65" xr:uid="{00000000-0005-0000-0000-00003E000000}"/>
    <cellStyle name="표준 2 6" xfId="66" xr:uid="{00000000-0005-0000-0000-00003F000000}"/>
    <cellStyle name="표준 2 7" xfId="67" xr:uid="{00000000-0005-0000-0000-000040000000}"/>
    <cellStyle name="표준 2 8" xfId="68" xr:uid="{00000000-0005-0000-0000-000041000000}"/>
    <cellStyle name="표준 2 9" xfId="69" xr:uid="{00000000-0005-0000-0000-000042000000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62"/>
  <sheetViews>
    <sheetView topLeftCell="K7" zoomScale="85" zoomScaleNormal="85" workbookViewId="0">
      <selection activeCell="Q5" sqref="Q5:Q31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4" t="s">
        <v>32</v>
      </c>
      <c r="B1" s="94"/>
      <c r="C1" s="94"/>
      <c r="D1" s="94"/>
      <c r="E1" s="94"/>
      <c r="F1" s="94"/>
      <c r="G1" s="94"/>
      <c r="H1" s="94"/>
      <c r="I1" s="40" t="s">
        <v>26</v>
      </c>
      <c r="J1" s="98" t="s">
        <v>105</v>
      </c>
      <c r="K1" s="39" t="s">
        <v>4</v>
      </c>
      <c r="L1" s="39" t="s">
        <v>2</v>
      </c>
      <c r="M1" s="39" t="s">
        <v>12</v>
      </c>
      <c r="N1" s="44" t="s">
        <v>28</v>
      </c>
      <c r="O1" s="44" t="s">
        <v>30</v>
      </c>
      <c r="P1" s="45" t="s">
        <v>31</v>
      </c>
      <c r="Q1" s="77" t="s">
        <v>35</v>
      </c>
      <c r="R1" s="44" t="s">
        <v>34</v>
      </c>
    </row>
    <row r="2" spans="1:25" ht="21.75" customHeight="1" thickTop="1" thickBot="1" x14ac:dyDescent="0.35">
      <c r="A2" s="95"/>
      <c r="B2" s="95"/>
      <c r="C2" s="95"/>
      <c r="D2" s="95"/>
      <c r="E2" s="95"/>
      <c r="F2" s="95"/>
      <c r="G2" s="95"/>
      <c r="H2" s="95"/>
      <c r="I2" s="40" t="s">
        <v>27</v>
      </c>
      <c r="J2" s="98" t="s">
        <v>106</v>
      </c>
      <c r="K2" s="46">
        <f>COUNTA(B4:B49)</f>
        <v>38</v>
      </c>
      <c r="L2" s="46">
        <f>COUNTIFS(C4:C49,"남")</f>
        <v>8</v>
      </c>
      <c r="M2" s="46">
        <f>COUNTIFS(C4:C49,"여")</f>
        <v>30</v>
      </c>
      <c r="N2" s="47">
        <f>AVERAGEIF(J4:J48,"&gt;0",J4:J48)</f>
        <v>40105.263157894733</v>
      </c>
      <c r="O2" s="48">
        <f>SUM(M4:M49)</f>
        <v>189</v>
      </c>
      <c r="P2" s="49">
        <f>SUM(F4:F49)</f>
        <v>321</v>
      </c>
      <c r="Q2" s="78">
        <f>SUM(Q5:Q31)</f>
        <v>14080000</v>
      </c>
      <c r="R2" s="78">
        <f>SUM(R5:R31)</f>
        <v>12840000</v>
      </c>
    </row>
    <row r="3" spans="1:25" ht="30" thickTop="1" thickBot="1" x14ac:dyDescent="0.35">
      <c r="A3" s="39" t="s">
        <v>0</v>
      </c>
      <c r="B3" s="40" t="s">
        <v>3</v>
      </c>
      <c r="C3" s="39" t="s">
        <v>1</v>
      </c>
      <c r="D3" s="39" t="s">
        <v>21</v>
      </c>
      <c r="E3" s="40" t="s">
        <v>38</v>
      </c>
      <c r="F3" s="40" t="s">
        <v>5</v>
      </c>
      <c r="G3" s="40" t="s">
        <v>33</v>
      </c>
      <c r="H3" s="40" t="s">
        <v>15</v>
      </c>
      <c r="I3" s="41" t="s">
        <v>22</v>
      </c>
      <c r="J3" s="41" t="s">
        <v>11</v>
      </c>
      <c r="K3" s="42" t="s">
        <v>13</v>
      </c>
      <c r="L3" s="41" t="s">
        <v>14</v>
      </c>
      <c r="M3" s="41" t="s">
        <v>20</v>
      </c>
      <c r="N3" s="41" t="s">
        <v>14</v>
      </c>
      <c r="O3" s="96" t="s">
        <v>6</v>
      </c>
      <c r="P3" s="96"/>
      <c r="Q3" s="96"/>
      <c r="R3" s="96"/>
    </row>
    <row r="4" spans="1:25" ht="18.75" customHeight="1" thickTop="1" thickBot="1" x14ac:dyDescent="0.35">
      <c r="A4" s="33">
        <v>1</v>
      </c>
      <c r="B4" s="99" t="s">
        <v>107</v>
      </c>
      <c r="C4" s="34" t="s">
        <v>12</v>
      </c>
      <c r="D4" s="35">
        <v>10</v>
      </c>
      <c r="E4" s="35">
        <v>8</v>
      </c>
      <c r="F4" s="36">
        <f t="shared" ref="F4:F49" si="0">D4-E4</f>
        <v>2</v>
      </c>
      <c r="G4" s="33" t="s">
        <v>61</v>
      </c>
      <c r="H4" s="69">
        <v>440000</v>
      </c>
      <c r="I4" s="67">
        <f>IF(G4="현금",H4,H4/1.1)</f>
        <v>399999.99999999994</v>
      </c>
      <c r="J4" s="37">
        <f t="shared" ref="J4:J49" si="1">I4/D4</f>
        <v>39999.999999999993</v>
      </c>
      <c r="K4" s="79">
        <v>0.5</v>
      </c>
      <c r="L4" s="73">
        <f t="shared" ref="L4:L49" si="2">PRODUCT(K4,J4)</f>
        <v>19999.999999999996</v>
      </c>
      <c r="M4" s="38">
        <v>8</v>
      </c>
      <c r="N4" s="75">
        <f t="shared" ref="N4:N49" si="3">PRODUCT(M4,L4)</f>
        <v>159999.99999999997</v>
      </c>
      <c r="O4" s="50" t="s">
        <v>7</v>
      </c>
      <c r="P4" s="50" t="s">
        <v>10</v>
      </c>
      <c r="Q4" s="50" t="s">
        <v>8</v>
      </c>
      <c r="R4" s="51" t="s">
        <v>9</v>
      </c>
      <c r="Y4" s="4"/>
    </row>
    <row r="5" spans="1:25" ht="18.75" customHeight="1" thickTop="1" thickBot="1" x14ac:dyDescent="0.35">
      <c r="A5" s="9">
        <v>2</v>
      </c>
      <c r="B5" s="100" t="s">
        <v>107</v>
      </c>
      <c r="C5" s="6" t="s">
        <v>12</v>
      </c>
      <c r="D5" s="5">
        <v>10</v>
      </c>
      <c r="E5" s="5">
        <v>0</v>
      </c>
      <c r="F5" s="31">
        <f t="shared" si="0"/>
        <v>10</v>
      </c>
      <c r="G5" s="9" t="s">
        <v>61</v>
      </c>
      <c r="H5" s="70">
        <v>440000</v>
      </c>
      <c r="I5" s="67">
        <f t="shared" ref="I5:I49" si="4">IF(G5="현금",H5,H5/1.1)</f>
        <v>399999.99999999994</v>
      </c>
      <c r="J5" s="32">
        <f t="shared" si="1"/>
        <v>39999.999999999993</v>
      </c>
      <c r="K5" s="79">
        <v>0.5</v>
      </c>
      <c r="L5" s="74">
        <f t="shared" si="2"/>
        <v>19999.999999999996</v>
      </c>
      <c r="M5" s="21">
        <v>0</v>
      </c>
      <c r="N5" s="76">
        <f t="shared" si="3"/>
        <v>0</v>
      </c>
      <c r="O5" s="104" t="s">
        <v>115</v>
      </c>
      <c r="P5" s="105" t="s">
        <v>61</v>
      </c>
      <c r="Q5" s="54">
        <v>440000</v>
      </c>
      <c r="R5" s="6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100" t="s">
        <v>48</v>
      </c>
      <c r="C6" s="6" t="s">
        <v>12</v>
      </c>
      <c r="D6" s="5">
        <v>10</v>
      </c>
      <c r="E6" s="5">
        <v>10</v>
      </c>
      <c r="F6" s="31">
        <f t="shared" si="0"/>
        <v>0</v>
      </c>
      <c r="G6" s="9" t="s">
        <v>37</v>
      </c>
      <c r="H6" s="70">
        <v>440000</v>
      </c>
      <c r="I6" s="67">
        <f t="shared" si="4"/>
        <v>399999.99999999994</v>
      </c>
      <c r="J6" s="32">
        <f t="shared" si="1"/>
        <v>39999.999999999993</v>
      </c>
      <c r="K6" s="79">
        <v>0.5</v>
      </c>
      <c r="L6" s="74">
        <f t="shared" si="2"/>
        <v>19999.999999999996</v>
      </c>
      <c r="M6" s="21">
        <v>10</v>
      </c>
      <c r="N6" s="76">
        <f t="shared" si="3"/>
        <v>199999.99999999997</v>
      </c>
      <c r="O6" s="104" t="s">
        <v>122</v>
      </c>
      <c r="P6" s="105" t="s">
        <v>36</v>
      </c>
      <c r="Q6" s="54">
        <v>440000</v>
      </c>
      <c r="R6" s="67">
        <f t="shared" ref="R6:R31" si="5">IF(P6="현금",Q6,Q6/1.1)</f>
        <v>440000</v>
      </c>
      <c r="Y6" s="4"/>
    </row>
    <row r="7" spans="1:25" ht="18.75" customHeight="1" thickTop="1" thickBot="1" x14ac:dyDescent="0.35">
      <c r="A7" s="9">
        <v>4</v>
      </c>
      <c r="B7" s="100" t="s">
        <v>48</v>
      </c>
      <c r="C7" s="6" t="s">
        <v>12</v>
      </c>
      <c r="D7" s="5">
        <v>20</v>
      </c>
      <c r="E7" s="5">
        <v>0</v>
      </c>
      <c r="F7" s="31">
        <f t="shared" ref="F7" si="6">D7-E7</f>
        <v>20</v>
      </c>
      <c r="G7" s="9" t="s">
        <v>37</v>
      </c>
      <c r="H7" s="70">
        <v>880000</v>
      </c>
      <c r="I7" s="67">
        <f t="shared" ref="I7" si="7">IF(G7="현금",H7,H7/1.1)</f>
        <v>799999.99999999988</v>
      </c>
      <c r="J7" s="32">
        <f t="shared" ref="J7" si="8">I7/D7</f>
        <v>39999.999999999993</v>
      </c>
      <c r="K7" s="79">
        <v>0.5</v>
      </c>
      <c r="L7" s="74">
        <f t="shared" ref="L7" si="9">PRODUCT(K7,J7)</f>
        <v>19999.999999999996</v>
      </c>
      <c r="M7" s="21">
        <v>0</v>
      </c>
      <c r="N7" s="76">
        <f t="shared" ref="N7" si="10">PRODUCT(M7,L7)</f>
        <v>0</v>
      </c>
      <c r="O7" s="104" t="s">
        <v>107</v>
      </c>
      <c r="P7" s="105" t="s">
        <v>37</v>
      </c>
      <c r="Q7" s="54">
        <v>440000</v>
      </c>
      <c r="R7" s="67">
        <f t="shared" ref="R7" si="11">IF(P7="현금",Q7,Q7/1.1)</f>
        <v>399999.99999999994</v>
      </c>
      <c r="Y7" s="4"/>
    </row>
    <row r="8" spans="1:25" ht="18.75" customHeight="1" thickTop="1" thickBot="1" x14ac:dyDescent="0.35">
      <c r="A8" s="9">
        <v>4</v>
      </c>
      <c r="B8" s="100" t="s">
        <v>108</v>
      </c>
      <c r="C8" s="6" t="s">
        <v>50</v>
      </c>
      <c r="D8" s="5">
        <v>8</v>
      </c>
      <c r="E8" s="5">
        <v>8</v>
      </c>
      <c r="F8" s="31">
        <f t="shared" si="0"/>
        <v>0</v>
      </c>
      <c r="G8" s="9" t="s">
        <v>37</v>
      </c>
      <c r="H8" s="70">
        <v>352000</v>
      </c>
      <c r="I8" s="67">
        <f t="shared" si="4"/>
        <v>320000</v>
      </c>
      <c r="J8" s="32">
        <f t="shared" si="1"/>
        <v>40000</v>
      </c>
      <c r="K8" s="79">
        <v>0.5</v>
      </c>
      <c r="L8" s="74">
        <f t="shared" si="2"/>
        <v>20000</v>
      </c>
      <c r="M8" s="21">
        <v>8</v>
      </c>
      <c r="N8" s="76">
        <f t="shared" si="3"/>
        <v>160000</v>
      </c>
      <c r="O8" s="104" t="s">
        <v>107</v>
      </c>
      <c r="P8" s="105" t="s">
        <v>37</v>
      </c>
      <c r="Q8" s="54">
        <v>440000</v>
      </c>
      <c r="R8" s="67">
        <f t="shared" si="5"/>
        <v>399999.99999999994</v>
      </c>
      <c r="Y8" s="4"/>
    </row>
    <row r="9" spans="1:25" ht="18.75" customHeight="1" thickTop="1" thickBot="1" x14ac:dyDescent="0.35">
      <c r="A9" s="9">
        <v>5</v>
      </c>
      <c r="B9" s="100" t="s">
        <v>109</v>
      </c>
      <c r="C9" s="6" t="s">
        <v>12</v>
      </c>
      <c r="D9" s="5">
        <v>10</v>
      </c>
      <c r="E9" s="5">
        <v>4</v>
      </c>
      <c r="F9" s="31">
        <f t="shared" si="0"/>
        <v>6</v>
      </c>
      <c r="G9" s="9" t="s">
        <v>61</v>
      </c>
      <c r="H9" s="70">
        <v>440000</v>
      </c>
      <c r="I9" s="67">
        <f t="shared" si="4"/>
        <v>399999.99999999994</v>
      </c>
      <c r="J9" s="32">
        <f t="shared" si="1"/>
        <v>39999.999999999993</v>
      </c>
      <c r="K9" s="79">
        <v>0.5</v>
      </c>
      <c r="L9" s="74">
        <f t="shared" si="2"/>
        <v>19999.999999999996</v>
      </c>
      <c r="M9" s="21">
        <v>4</v>
      </c>
      <c r="N9" s="76">
        <f t="shared" si="3"/>
        <v>79999.999999999985</v>
      </c>
      <c r="O9" s="106" t="s">
        <v>124</v>
      </c>
      <c r="P9" s="105" t="s">
        <v>37</v>
      </c>
      <c r="Q9" s="54">
        <v>220000</v>
      </c>
      <c r="R9" s="67">
        <f t="shared" si="5"/>
        <v>199999.99999999997</v>
      </c>
      <c r="Y9" s="4"/>
    </row>
    <row r="10" spans="1:25" ht="18.75" customHeight="1" thickTop="1" thickBot="1" x14ac:dyDescent="0.35">
      <c r="A10" s="9">
        <v>6</v>
      </c>
      <c r="B10" s="100" t="s">
        <v>110</v>
      </c>
      <c r="C10" s="6" t="s">
        <v>12</v>
      </c>
      <c r="D10" s="5">
        <v>20</v>
      </c>
      <c r="E10" s="5">
        <v>1</v>
      </c>
      <c r="F10" s="31">
        <f t="shared" si="0"/>
        <v>19</v>
      </c>
      <c r="G10" s="9" t="s">
        <v>111</v>
      </c>
      <c r="H10" s="70">
        <v>880000</v>
      </c>
      <c r="I10" s="67">
        <f t="shared" si="4"/>
        <v>799999.99999999988</v>
      </c>
      <c r="J10" s="32">
        <f t="shared" si="1"/>
        <v>39999.999999999993</v>
      </c>
      <c r="K10" s="79">
        <v>0.5</v>
      </c>
      <c r="L10" s="74">
        <f t="shared" si="2"/>
        <v>19999.999999999996</v>
      </c>
      <c r="M10" s="21">
        <v>1</v>
      </c>
      <c r="N10" s="76">
        <f t="shared" si="3"/>
        <v>19999.999999999996</v>
      </c>
      <c r="O10" s="104" t="s">
        <v>109</v>
      </c>
      <c r="P10" s="105" t="s">
        <v>61</v>
      </c>
      <c r="Q10" s="54">
        <v>440000</v>
      </c>
      <c r="R10" s="67">
        <f t="shared" si="5"/>
        <v>399999.99999999994</v>
      </c>
      <c r="Y10" s="4"/>
    </row>
    <row r="11" spans="1:25" ht="18.75" customHeight="1" thickTop="1" thickBot="1" x14ac:dyDescent="0.35">
      <c r="A11" s="9">
        <v>7</v>
      </c>
      <c r="B11" s="100" t="s">
        <v>59</v>
      </c>
      <c r="C11" s="6" t="s">
        <v>12</v>
      </c>
      <c r="D11" s="5">
        <v>20</v>
      </c>
      <c r="E11" s="5">
        <v>8</v>
      </c>
      <c r="F11" s="31">
        <f t="shared" si="0"/>
        <v>12</v>
      </c>
      <c r="G11" s="9" t="s">
        <v>37</v>
      </c>
      <c r="H11" s="70">
        <v>880000</v>
      </c>
      <c r="I11" s="67">
        <f t="shared" si="4"/>
        <v>799999.99999999988</v>
      </c>
      <c r="J11" s="32">
        <f t="shared" si="1"/>
        <v>39999.999999999993</v>
      </c>
      <c r="K11" s="79">
        <v>0.5</v>
      </c>
      <c r="L11" s="74">
        <f t="shared" si="2"/>
        <v>19999.999999999996</v>
      </c>
      <c r="M11" s="21">
        <v>8</v>
      </c>
      <c r="N11" s="76">
        <f t="shared" si="3"/>
        <v>159999.99999999997</v>
      </c>
      <c r="O11" s="60" t="s">
        <v>112</v>
      </c>
      <c r="P11" s="61" t="s">
        <v>37</v>
      </c>
      <c r="Q11" s="54">
        <v>440000</v>
      </c>
      <c r="R11" s="67">
        <f t="shared" si="5"/>
        <v>399999.99999999994</v>
      </c>
      <c r="Y11" s="4"/>
    </row>
    <row r="12" spans="1:25" ht="18.75" customHeight="1" thickTop="1" thickBot="1" x14ac:dyDescent="0.35">
      <c r="A12" s="9">
        <v>8</v>
      </c>
      <c r="B12" s="100" t="s">
        <v>112</v>
      </c>
      <c r="C12" s="6" t="s">
        <v>12</v>
      </c>
      <c r="D12" s="5">
        <v>10</v>
      </c>
      <c r="E12" s="5">
        <v>5</v>
      </c>
      <c r="F12" s="31">
        <f t="shared" si="0"/>
        <v>5</v>
      </c>
      <c r="G12" s="9" t="s">
        <v>37</v>
      </c>
      <c r="H12" s="70">
        <v>440000</v>
      </c>
      <c r="I12" s="67">
        <f t="shared" si="4"/>
        <v>399999.99999999994</v>
      </c>
      <c r="J12" s="32">
        <f t="shared" si="1"/>
        <v>39999.999999999993</v>
      </c>
      <c r="K12" s="79">
        <v>0.5</v>
      </c>
      <c r="L12" s="74">
        <f t="shared" si="2"/>
        <v>19999.999999999996</v>
      </c>
      <c r="M12" s="21">
        <v>5</v>
      </c>
      <c r="N12" s="76">
        <f t="shared" si="3"/>
        <v>99999.999999999985</v>
      </c>
      <c r="O12" s="60" t="s">
        <v>112</v>
      </c>
      <c r="P12" s="61" t="s">
        <v>37</v>
      </c>
      <c r="Q12" s="62">
        <v>440000</v>
      </c>
      <c r="R12" s="67">
        <f t="shared" si="5"/>
        <v>399999.99999999994</v>
      </c>
      <c r="Y12" s="4"/>
    </row>
    <row r="13" spans="1:25" ht="18.75" customHeight="1" thickTop="1" thickBot="1" x14ac:dyDescent="0.35">
      <c r="A13" s="9">
        <v>9</v>
      </c>
      <c r="B13" s="100" t="s">
        <v>112</v>
      </c>
      <c r="C13" s="6" t="s">
        <v>12</v>
      </c>
      <c r="D13" s="5">
        <v>10</v>
      </c>
      <c r="E13" s="5">
        <v>0</v>
      </c>
      <c r="F13" s="31">
        <f t="shared" si="0"/>
        <v>10</v>
      </c>
      <c r="G13" s="9" t="s">
        <v>37</v>
      </c>
      <c r="H13" s="70">
        <v>440000</v>
      </c>
      <c r="I13" s="67">
        <f t="shared" si="4"/>
        <v>399999.99999999994</v>
      </c>
      <c r="J13" s="32">
        <f t="shared" si="1"/>
        <v>39999.999999999993</v>
      </c>
      <c r="K13" s="79">
        <v>0.5</v>
      </c>
      <c r="L13" s="74">
        <f t="shared" si="2"/>
        <v>19999.999999999996</v>
      </c>
      <c r="M13" s="21">
        <v>0</v>
      </c>
      <c r="N13" s="76">
        <f t="shared" si="3"/>
        <v>0</v>
      </c>
      <c r="O13" s="60" t="s">
        <v>116</v>
      </c>
      <c r="P13" s="60" t="s">
        <v>61</v>
      </c>
      <c r="Q13" s="61">
        <v>440000</v>
      </c>
      <c r="R13" s="67">
        <f t="shared" si="5"/>
        <v>399999.99999999994</v>
      </c>
      <c r="Y13" s="4"/>
    </row>
    <row r="14" spans="1:25" ht="18.75" customHeight="1" thickTop="1" thickBot="1" x14ac:dyDescent="0.35">
      <c r="A14" s="9">
        <v>10</v>
      </c>
      <c r="B14" s="100" t="s">
        <v>113</v>
      </c>
      <c r="C14" s="6" t="s">
        <v>12</v>
      </c>
      <c r="D14" s="5">
        <v>20</v>
      </c>
      <c r="E14" s="5">
        <v>1</v>
      </c>
      <c r="F14" s="31">
        <f t="shared" si="0"/>
        <v>19</v>
      </c>
      <c r="G14" s="9" t="s">
        <v>37</v>
      </c>
      <c r="H14" s="70">
        <v>880000</v>
      </c>
      <c r="I14" s="67">
        <f t="shared" si="4"/>
        <v>799999.99999999988</v>
      </c>
      <c r="J14" s="32">
        <f t="shared" si="1"/>
        <v>39999.999999999993</v>
      </c>
      <c r="K14" s="79">
        <v>0.5</v>
      </c>
      <c r="L14" s="74">
        <f t="shared" si="2"/>
        <v>19999.999999999996</v>
      </c>
      <c r="M14" s="21">
        <v>1</v>
      </c>
      <c r="N14" s="76">
        <f t="shared" si="3"/>
        <v>19999.999999999996</v>
      </c>
      <c r="O14" s="60" t="s">
        <v>121</v>
      </c>
      <c r="P14" s="60" t="s">
        <v>37</v>
      </c>
      <c r="Q14" s="61">
        <v>220000</v>
      </c>
      <c r="R14" s="67">
        <f t="shared" si="5"/>
        <v>199999.99999999997</v>
      </c>
      <c r="S14" s="26"/>
      <c r="U14" s="27"/>
      <c r="V14" s="27"/>
      <c r="Y14" s="4"/>
    </row>
    <row r="15" spans="1:25" ht="18.75" customHeight="1" thickTop="1" thickBot="1" x14ac:dyDescent="0.35">
      <c r="A15" s="9">
        <v>11</v>
      </c>
      <c r="B15" s="100" t="s">
        <v>114</v>
      </c>
      <c r="C15" s="6" t="s">
        <v>12</v>
      </c>
      <c r="D15" s="5">
        <v>10</v>
      </c>
      <c r="E15" s="5">
        <v>2</v>
      </c>
      <c r="F15" s="31">
        <f t="shared" si="0"/>
        <v>8</v>
      </c>
      <c r="G15" s="9" t="s">
        <v>37</v>
      </c>
      <c r="H15" s="70">
        <v>440000</v>
      </c>
      <c r="I15" s="67">
        <f t="shared" si="4"/>
        <v>399999.99999999994</v>
      </c>
      <c r="J15" s="32">
        <f t="shared" si="1"/>
        <v>39999.999999999993</v>
      </c>
      <c r="K15" s="79">
        <v>0.5</v>
      </c>
      <c r="L15" s="74">
        <f t="shared" si="2"/>
        <v>19999.999999999996</v>
      </c>
      <c r="M15" s="21">
        <v>2</v>
      </c>
      <c r="N15" s="76">
        <f t="shared" si="3"/>
        <v>39999.999999999993</v>
      </c>
      <c r="O15" s="60" t="s">
        <v>56</v>
      </c>
      <c r="P15" s="60" t="s">
        <v>37</v>
      </c>
      <c r="Q15" s="61">
        <v>880000</v>
      </c>
      <c r="R15" s="67">
        <f t="shared" si="5"/>
        <v>799999.99999999988</v>
      </c>
      <c r="S15" s="26"/>
      <c r="U15" s="27"/>
      <c r="Y15" s="4"/>
    </row>
    <row r="16" spans="1:25" ht="18.75" customHeight="1" thickTop="1" thickBot="1" x14ac:dyDescent="0.35">
      <c r="A16" s="9">
        <v>12</v>
      </c>
      <c r="B16" s="101" t="s">
        <v>55</v>
      </c>
      <c r="C16" s="6" t="s">
        <v>12</v>
      </c>
      <c r="D16" s="5">
        <v>30</v>
      </c>
      <c r="E16" s="5">
        <v>12</v>
      </c>
      <c r="F16" s="31">
        <f t="shared" si="0"/>
        <v>18</v>
      </c>
      <c r="G16" s="9" t="s">
        <v>37</v>
      </c>
      <c r="H16" s="70">
        <v>1320000</v>
      </c>
      <c r="I16" s="67">
        <f t="shared" si="4"/>
        <v>1200000</v>
      </c>
      <c r="J16" s="32">
        <f t="shared" si="1"/>
        <v>40000</v>
      </c>
      <c r="K16" s="79">
        <v>0.5</v>
      </c>
      <c r="L16" s="74">
        <f t="shared" si="2"/>
        <v>20000</v>
      </c>
      <c r="M16" s="21">
        <v>12</v>
      </c>
      <c r="N16" s="76">
        <f t="shared" si="3"/>
        <v>240000</v>
      </c>
      <c r="O16" s="60" t="s">
        <v>118</v>
      </c>
      <c r="P16" s="60" t="s">
        <v>37</v>
      </c>
      <c r="Q16" s="61">
        <v>440000</v>
      </c>
      <c r="R16" s="67">
        <f t="shared" si="5"/>
        <v>399999.99999999994</v>
      </c>
      <c r="S16" s="26"/>
      <c r="U16" s="27"/>
      <c r="V16" s="27"/>
      <c r="Y16" s="4"/>
    </row>
    <row r="17" spans="1:25" ht="18.75" customHeight="1" thickTop="1" thickBot="1" x14ac:dyDescent="0.35">
      <c r="A17" s="9">
        <v>13</v>
      </c>
      <c r="B17" s="101" t="s">
        <v>56</v>
      </c>
      <c r="C17" s="6" t="s">
        <v>12</v>
      </c>
      <c r="D17" s="5">
        <v>10</v>
      </c>
      <c r="E17" s="5">
        <v>10</v>
      </c>
      <c r="F17" s="31">
        <f t="shared" si="0"/>
        <v>0</v>
      </c>
      <c r="G17" s="9" t="s">
        <v>61</v>
      </c>
      <c r="H17" s="70">
        <v>440000</v>
      </c>
      <c r="I17" s="67">
        <f t="shared" si="4"/>
        <v>399999.99999999994</v>
      </c>
      <c r="J17" s="32">
        <f t="shared" si="1"/>
        <v>39999.999999999993</v>
      </c>
      <c r="K17" s="79">
        <v>0.5</v>
      </c>
      <c r="L17" s="74">
        <f t="shared" si="2"/>
        <v>19999.999999999996</v>
      </c>
      <c r="M17" s="21">
        <v>10</v>
      </c>
      <c r="N17" s="76">
        <f t="shared" si="3"/>
        <v>199999.99999999997</v>
      </c>
      <c r="O17" s="60" t="s">
        <v>123</v>
      </c>
      <c r="P17" s="60" t="s">
        <v>37</v>
      </c>
      <c r="Q17" s="61">
        <v>880000</v>
      </c>
      <c r="R17" s="67">
        <f t="shared" si="5"/>
        <v>799999.99999999988</v>
      </c>
      <c r="S17" s="26"/>
      <c r="U17" s="27"/>
      <c r="Y17" s="4"/>
    </row>
    <row r="18" spans="1:25" ht="18.75" customHeight="1" thickTop="1" thickBot="1" x14ac:dyDescent="0.35">
      <c r="A18" s="9">
        <v>14</v>
      </c>
      <c r="B18" s="101" t="s">
        <v>56</v>
      </c>
      <c r="C18" s="6" t="s">
        <v>12</v>
      </c>
      <c r="D18" s="5">
        <v>20</v>
      </c>
      <c r="E18" s="5">
        <v>1</v>
      </c>
      <c r="F18" s="31">
        <f t="shared" si="0"/>
        <v>19</v>
      </c>
      <c r="G18" s="9" t="s">
        <v>37</v>
      </c>
      <c r="H18" s="70">
        <v>880000</v>
      </c>
      <c r="I18" s="67">
        <f t="shared" si="4"/>
        <v>799999.99999999988</v>
      </c>
      <c r="J18" s="32">
        <f t="shared" si="1"/>
        <v>39999.999999999993</v>
      </c>
      <c r="K18" s="79">
        <v>0.5</v>
      </c>
      <c r="L18" s="74">
        <f t="shared" si="2"/>
        <v>19999.999999999996</v>
      </c>
      <c r="M18" s="21">
        <v>1</v>
      </c>
      <c r="N18" s="76">
        <f t="shared" si="3"/>
        <v>19999.999999999996</v>
      </c>
      <c r="O18" s="60" t="s">
        <v>54</v>
      </c>
      <c r="P18" s="60" t="s">
        <v>61</v>
      </c>
      <c r="Q18" s="61">
        <v>440000</v>
      </c>
      <c r="R18" s="67">
        <f t="shared" si="5"/>
        <v>399999.99999999994</v>
      </c>
      <c r="S18" s="26"/>
      <c r="U18" s="27"/>
      <c r="V18" s="27"/>
      <c r="Y18" s="4"/>
    </row>
    <row r="19" spans="1:25" ht="18.75" customHeight="1" thickTop="1" thickBot="1" x14ac:dyDescent="0.35">
      <c r="A19" s="9">
        <v>15</v>
      </c>
      <c r="B19" s="100" t="s">
        <v>115</v>
      </c>
      <c r="C19" s="6" t="s">
        <v>12</v>
      </c>
      <c r="D19" s="5">
        <v>10</v>
      </c>
      <c r="E19" s="5">
        <v>6</v>
      </c>
      <c r="F19" s="31">
        <f t="shared" si="0"/>
        <v>4</v>
      </c>
      <c r="G19" s="9" t="s">
        <v>61</v>
      </c>
      <c r="H19" s="70">
        <v>440000</v>
      </c>
      <c r="I19" s="67">
        <f t="shared" si="4"/>
        <v>399999.99999999994</v>
      </c>
      <c r="J19" s="32">
        <f t="shared" si="1"/>
        <v>39999.999999999993</v>
      </c>
      <c r="K19" s="79">
        <v>0.5</v>
      </c>
      <c r="L19" s="74">
        <f t="shared" si="2"/>
        <v>19999.999999999996</v>
      </c>
      <c r="M19" s="21">
        <v>6</v>
      </c>
      <c r="N19" s="76">
        <f t="shared" si="3"/>
        <v>119999.99999999997</v>
      </c>
      <c r="O19" s="60" t="s">
        <v>120</v>
      </c>
      <c r="P19" s="60" t="s">
        <v>61</v>
      </c>
      <c r="Q19" s="61">
        <v>880000</v>
      </c>
      <c r="R19" s="67">
        <f t="shared" si="5"/>
        <v>799999.99999999988</v>
      </c>
      <c r="S19" s="26"/>
      <c r="U19" s="27"/>
      <c r="V19" s="27"/>
      <c r="Y19" s="4"/>
    </row>
    <row r="20" spans="1:25" ht="18.75" customHeight="1" thickTop="1" thickBot="1" x14ac:dyDescent="0.35">
      <c r="A20" s="9">
        <v>16</v>
      </c>
      <c r="B20" s="100" t="s">
        <v>53</v>
      </c>
      <c r="C20" s="6" t="s">
        <v>12</v>
      </c>
      <c r="D20" s="5">
        <v>10</v>
      </c>
      <c r="E20" s="5">
        <v>8</v>
      </c>
      <c r="F20" s="31">
        <f t="shared" si="0"/>
        <v>2</v>
      </c>
      <c r="G20" s="9" t="s">
        <v>61</v>
      </c>
      <c r="H20" s="70">
        <v>440000</v>
      </c>
      <c r="I20" s="67">
        <f t="shared" si="4"/>
        <v>399999.99999999994</v>
      </c>
      <c r="J20" s="32">
        <f t="shared" si="1"/>
        <v>39999.999999999993</v>
      </c>
      <c r="K20" s="79">
        <v>0.5</v>
      </c>
      <c r="L20" s="74">
        <f t="shared" si="2"/>
        <v>19999.999999999996</v>
      </c>
      <c r="M20" s="21">
        <v>8</v>
      </c>
      <c r="N20" s="76">
        <f t="shared" si="3"/>
        <v>159999.99999999997</v>
      </c>
      <c r="O20" s="60" t="s">
        <v>114</v>
      </c>
      <c r="P20" s="61" t="s">
        <v>37</v>
      </c>
      <c r="Q20" s="61">
        <v>440000</v>
      </c>
      <c r="R20" s="67">
        <f t="shared" si="5"/>
        <v>399999.99999999994</v>
      </c>
      <c r="S20" s="26"/>
      <c r="U20" s="27"/>
      <c r="Y20" s="4"/>
    </row>
    <row r="21" spans="1:25" ht="18.75" customHeight="1" thickTop="1" thickBot="1" x14ac:dyDescent="0.35">
      <c r="A21" s="9">
        <v>17</v>
      </c>
      <c r="B21" s="100" t="s">
        <v>53</v>
      </c>
      <c r="C21" s="6" t="s">
        <v>12</v>
      </c>
      <c r="D21" s="5">
        <v>10</v>
      </c>
      <c r="E21" s="5">
        <v>0</v>
      </c>
      <c r="F21" s="31">
        <f t="shared" si="0"/>
        <v>10</v>
      </c>
      <c r="G21" s="9" t="s">
        <v>61</v>
      </c>
      <c r="H21" s="70">
        <v>440000</v>
      </c>
      <c r="I21" s="67">
        <f t="shared" si="4"/>
        <v>399999.99999999994</v>
      </c>
      <c r="J21" s="32">
        <f t="shared" si="1"/>
        <v>39999.999999999993</v>
      </c>
      <c r="K21" s="79">
        <v>0.5</v>
      </c>
      <c r="L21" s="74">
        <f t="shared" si="2"/>
        <v>19999.999999999996</v>
      </c>
      <c r="M21" s="21">
        <v>0</v>
      </c>
      <c r="N21" s="76">
        <f t="shared" si="3"/>
        <v>0</v>
      </c>
      <c r="O21" s="60" t="s">
        <v>98</v>
      </c>
      <c r="P21" s="61" t="s">
        <v>61</v>
      </c>
      <c r="Q21" s="61">
        <v>440000</v>
      </c>
      <c r="R21" s="67">
        <f t="shared" si="5"/>
        <v>399999.99999999994</v>
      </c>
      <c r="S21" s="26"/>
      <c r="U21" s="27"/>
      <c r="V21" s="27"/>
      <c r="Y21" s="4"/>
    </row>
    <row r="22" spans="1:25" ht="18.75" customHeight="1" thickTop="1" thickBot="1" x14ac:dyDescent="0.35">
      <c r="A22" s="9">
        <v>18</v>
      </c>
      <c r="B22" s="100" t="s">
        <v>116</v>
      </c>
      <c r="C22" s="6" t="s">
        <v>50</v>
      </c>
      <c r="D22" s="5">
        <v>10</v>
      </c>
      <c r="E22" s="5">
        <v>4</v>
      </c>
      <c r="F22" s="31">
        <f t="shared" si="0"/>
        <v>6</v>
      </c>
      <c r="G22" s="9" t="s">
        <v>61</v>
      </c>
      <c r="H22" s="70">
        <v>440000</v>
      </c>
      <c r="I22" s="67">
        <f t="shared" si="4"/>
        <v>399999.99999999994</v>
      </c>
      <c r="J22" s="32">
        <f t="shared" si="1"/>
        <v>39999.999999999993</v>
      </c>
      <c r="K22" s="79">
        <v>0.5</v>
      </c>
      <c r="L22" s="74">
        <f t="shared" si="2"/>
        <v>19999.999999999996</v>
      </c>
      <c r="M22" s="21">
        <v>4</v>
      </c>
      <c r="N22" s="76">
        <f t="shared" si="3"/>
        <v>79999.999999999985</v>
      </c>
      <c r="O22" s="60" t="s">
        <v>48</v>
      </c>
      <c r="P22" s="61" t="s">
        <v>37</v>
      </c>
      <c r="Q22" s="61">
        <v>880000</v>
      </c>
      <c r="R22" s="67">
        <f t="shared" si="5"/>
        <v>799999.99999999988</v>
      </c>
      <c r="S22" s="26"/>
      <c r="U22" s="27"/>
      <c r="V22" s="27"/>
      <c r="Y22" s="4"/>
    </row>
    <row r="23" spans="1:25" ht="18.75" customHeight="1" thickTop="1" thickBot="1" x14ac:dyDescent="0.35">
      <c r="A23" s="9">
        <v>19</v>
      </c>
      <c r="B23" s="100" t="s">
        <v>60</v>
      </c>
      <c r="C23" s="6" t="s">
        <v>12</v>
      </c>
      <c r="D23" s="5">
        <v>10</v>
      </c>
      <c r="E23" s="5">
        <v>3</v>
      </c>
      <c r="F23" s="31">
        <f t="shared" si="0"/>
        <v>7</v>
      </c>
      <c r="G23" s="9" t="s">
        <v>37</v>
      </c>
      <c r="H23" s="70">
        <v>440000</v>
      </c>
      <c r="I23" s="67">
        <f t="shared" si="4"/>
        <v>399999.99999999994</v>
      </c>
      <c r="J23" s="32">
        <f t="shared" si="1"/>
        <v>39999.999999999993</v>
      </c>
      <c r="K23" s="79">
        <v>0.5</v>
      </c>
      <c r="L23" s="74">
        <f t="shared" si="2"/>
        <v>19999.999999999996</v>
      </c>
      <c r="M23" s="21">
        <v>3</v>
      </c>
      <c r="N23" s="76">
        <f t="shared" si="3"/>
        <v>59999.999999999985</v>
      </c>
      <c r="O23" s="60" t="s">
        <v>51</v>
      </c>
      <c r="P23" s="61" t="s">
        <v>37</v>
      </c>
      <c r="Q23" s="61">
        <v>880000</v>
      </c>
      <c r="R23" s="67">
        <f t="shared" si="5"/>
        <v>799999.99999999988</v>
      </c>
      <c r="S23" s="26"/>
      <c r="T23" s="28"/>
      <c r="U23" s="27"/>
      <c r="V23" s="27"/>
      <c r="Y23" s="4"/>
    </row>
    <row r="24" spans="1:25" ht="18.75" customHeight="1" thickTop="1" thickBot="1" x14ac:dyDescent="0.35">
      <c r="A24" s="9">
        <v>20</v>
      </c>
      <c r="B24" s="100" t="s">
        <v>117</v>
      </c>
      <c r="C24" s="6" t="s">
        <v>50</v>
      </c>
      <c r="D24" s="5">
        <v>10</v>
      </c>
      <c r="E24" s="5">
        <v>0</v>
      </c>
      <c r="F24" s="31">
        <f t="shared" si="0"/>
        <v>10</v>
      </c>
      <c r="G24" s="9" t="s">
        <v>37</v>
      </c>
      <c r="H24" s="70">
        <v>440000</v>
      </c>
      <c r="I24" s="67">
        <f t="shared" si="4"/>
        <v>399999.99999999994</v>
      </c>
      <c r="J24" s="32">
        <f t="shared" si="1"/>
        <v>39999.999999999993</v>
      </c>
      <c r="K24" s="79">
        <v>0.5</v>
      </c>
      <c r="L24" s="74">
        <f t="shared" si="2"/>
        <v>19999.999999999996</v>
      </c>
      <c r="M24" s="21">
        <v>0</v>
      </c>
      <c r="N24" s="76">
        <f t="shared" si="3"/>
        <v>0</v>
      </c>
      <c r="O24" s="63" t="s">
        <v>113</v>
      </c>
      <c r="P24" s="64" t="s">
        <v>37</v>
      </c>
      <c r="Q24" s="61">
        <v>880000</v>
      </c>
      <c r="R24" s="67">
        <f t="shared" si="5"/>
        <v>799999.99999999988</v>
      </c>
      <c r="S24" s="26"/>
      <c r="T24" s="29"/>
      <c r="U24" s="27"/>
    </row>
    <row r="25" spans="1:25" ht="18.75" customHeight="1" thickTop="1" thickBot="1" x14ac:dyDescent="0.35">
      <c r="A25" s="9">
        <v>21</v>
      </c>
      <c r="B25" s="100" t="s">
        <v>49</v>
      </c>
      <c r="C25" s="6" t="s">
        <v>50</v>
      </c>
      <c r="D25" s="5">
        <v>20</v>
      </c>
      <c r="E25" s="5">
        <v>11</v>
      </c>
      <c r="F25" s="31">
        <f t="shared" si="0"/>
        <v>9</v>
      </c>
      <c r="G25" s="9" t="s">
        <v>61</v>
      </c>
      <c r="H25" s="70">
        <v>880000</v>
      </c>
      <c r="I25" s="67">
        <f t="shared" si="4"/>
        <v>799999.99999999988</v>
      </c>
      <c r="J25" s="32">
        <f t="shared" si="1"/>
        <v>39999.999999999993</v>
      </c>
      <c r="K25" s="79">
        <v>0.5</v>
      </c>
      <c r="L25" s="74">
        <f t="shared" si="2"/>
        <v>19999.999999999996</v>
      </c>
      <c r="M25" s="21">
        <v>11</v>
      </c>
      <c r="N25" s="76">
        <f t="shared" si="3"/>
        <v>219999.99999999997</v>
      </c>
      <c r="O25" s="65" t="s">
        <v>122</v>
      </c>
      <c r="P25" s="65" t="s">
        <v>61</v>
      </c>
      <c r="Q25" s="61">
        <v>440000</v>
      </c>
      <c r="R25" s="67">
        <f t="shared" si="5"/>
        <v>399999.99999999994</v>
      </c>
      <c r="S25" s="26"/>
      <c r="T25" s="30"/>
      <c r="U25" s="27"/>
    </row>
    <row r="26" spans="1:25" ht="18.75" customHeight="1" thickTop="1" thickBot="1" x14ac:dyDescent="0.35">
      <c r="A26" s="9">
        <v>22</v>
      </c>
      <c r="B26" s="100" t="s">
        <v>51</v>
      </c>
      <c r="C26" s="6" t="s">
        <v>12</v>
      </c>
      <c r="D26" s="5">
        <v>10</v>
      </c>
      <c r="E26" s="5">
        <v>9</v>
      </c>
      <c r="F26" s="31">
        <f t="shared" si="0"/>
        <v>1</v>
      </c>
      <c r="G26" s="9" t="s">
        <v>37</v>
      </c>
      <c r="H26" s="70">
        <v>440000</v>
      </c>
      <c r="I26" s="67">
        <f t="shared" si="4"/>
        <v>399999.99999999994</v>
      </c>
      <c r="J26" s="32">
        <f t="shared" si="1"/>
        <v>39999.999999999993</v>
      </c>
      <c r="K26" s="79">
        <v>0.5</v>
      </c>
      <c r="L26" s="74">
        <f t="shared" si="2"/>
        <v>19999.999999999996</v>
      </c>
      <c r="M26" s="21">
        <v>9</v>
      </c>
      <c r="N26" s="76">
        <f t="shared" si="3"/>
        <v>179999.99999999997</v>
      </c>
      <c r="O26" s="65" t="s">
        <v>96</v>
      </c>
      <c r="P26" s="65" t="s">
        <v>37</v>
      </c>
      <c r="Q26" s="61">
        <v>440000</v>
      </c>
      <c r="R26" s="67">
        <f t="shared" si="5"/>
        <v>399999.99999999994</v>
      </c>
      <c r="S26" s="26"/>
      <c r="T26" s="29"/>
      <c r="U26" s="27"/>
    </row>
    <row r="27" spans="1:25" ht="18.75" customHeight="1" thickTop="1" thickBot="1" x14ac:dyDescent="0.35">
      <c r="A27" s="9">
        <v>23</v>
      </c>
      <c r="B27" s="100" t="s">
        <v>51</v>
      </c>
      <c r="C27" s="6" t="s">
        <v>12</v>
      </c>
      <c r="D27" s="6">
        <v>20</v>
      </c>
      <c r="E27" s="6">
        <v>0</v>
      </c>
      <c r="F27" s="31">
        <f t="shared" si="0"/>
        <v>20</v>
      </c>
      <c r="G27" s="9" t="s">
        <v>37</v>
      </c>
      <c r="H27" s="70">
        <v>880000</v>
      </c>
      <c r="I27" s="67">
        <f t="shared" si="4"/>
        <v>799999.99999999988</v>
      </c>
      <c r="J27" s="32">
        <f t="shared" si="1"/>
        <v>39999.999999999993</v>
      </c>
      <c r="K27" s="79">
        <v>0.5</v>
      </c>
      <c r="L27" s="74">
        <f t="shared" si="2"/>
        <v>19999.999999999996</v>
      </c>
      <c r="M27" s="21">
        <v>0</v>
      </c>
      <c r="N27" s="76">
        <f t="shared" si="3"/>
        <v>0</v>
      </c>
      <c r="O27" s="65" t="s">
        <v>53</v>
      </c>
      <c r="P27" s="65" t="s">
        <v>61</v>
      </c>
      <c r="Q27" s="61">
        <v>440000</v>
      </c>
      <c r="R27" s="67">
        <f t="shared" si="5"/>
        <v>399999.99999999994</v>
      </c>
      <c r="S27" s="26"/>
      <c r="U27" s="27"/>
    </row>
    <row r="28" spans="1:25" ht="18.75" customHeight="1" thickTop="1" thickBot="1" x14ac:dyDescent="0.35">
      <c r="A28" s="9">
        <v>24</v>
      </c>
      <c r="B28" s="100" t="s">
        <v>118</v>
      </c>
      <c r="C28" s="6" t="s">
        <v>12</v>
      </c>
      <c r="D28" s="6">
        <v>10</v>
      </c>
      <c r="E28" s="6">
        <v>4</v>
      </c>
      <c r="F28" s="31">
        <f t="shared" si="0"/>
        <v>6</v>
      </c>
      <c r="G28" s="9" t="s">
        <v>37</v>
      </c>
      <c r="H28" s="70">
        <v>440000</v>
      </c>
      <c r="I28" s="67">
        <f t="shared" si="4"/>
        <v>399999.99999999994</v>
      </c>
      <c r="J28" s="32">
        <f t="shared" si="1"/>
        <v>39999.999999999993</v>
      </c>
      <c r="K28" s="79">
        <v>0.5</v>
      </c>
      <c r="L28" s="74">
        <f t="shared" si="2"/>
        <v>19999.999999999996</v>
      </c>
      <c r="M28" s="21">
        <v>4</v>
      </c>
      <c r="N28" s="76">
        <f t="shared" si="3"/>
        <v>79999.999999999985</v>
      </c>
      <c r="O28" s="65" t="s">
        <v>110</v>
      </c>
      <c r="P28" s="65" t="s">
        <v>111</v>
      </c>
      <c r="Q28" s="61">
        <v>880000</v>
      </c>
      <c r="R28" s="67">
        <f t="shared" si="5"/>
        <v>799999.99999999988</v>
      </c>
      <c r="S28" s="26"/>
      <c r="U28" s="27"/>
    </row>
    <row r="29" spans="1:25" ht="18.75" customHeight="1" thickTop="1" thickBot="1" x14ac:dyDescent="0.35">
      <c r="A29" s="9">
        <v>25</v>
      </c>
      <c r="B29" s="100" t="s">
        <v>119</v>
      </c>
      <c r="C29" s="6" t="s">
        <v>12</v>
      </c>
      <c r="D29" s="11">
        <v>30</v>
      </c>
      <c r="E29" s="11">
        <v>4</v>
      </c>
      <c r="F29" s="31">
        <f t="shared" si="0"/>
        <v>26</v>
      </c>
      <c r="G29" s="9" t="s">
        <v>37</v>
      </c>
      <c r="H29" s="70">
        <v>1320000</v>
      </c>
      <c r="I29" s="67">
        <f t="shared" ref="I29:I31" si="12">IF(G29="현금",H29,H29/1.1)</f>
        <v>1200000</v>
      </c>
      <c r="J29" s="32">
        <f t="shared" ref="J29:J31" si="13">I29/D29</f>
        <v>40000</v>
      </c>
      <c r="K29" s="79">
        <v>0.5</v>
      </c>
      <c r="L29" s="74">
        <f t="shared" ref="L29:L31" si="14">PRODUCT(K29,J29)</f>
        <v>20000</v>
      </c>
      <c r="M29" s="21">
        <v>5</v>
      </c>
      <c r="N29" s="76">
        <f t="shared" ref="N29:N31" si="15">PRODUCT(M29,L29)</f>
        <v>100000</v>
      </c>
      <c r="O29" s="65" t="s">
        <v>99</v>
      </c>
      <c r="P29" s="65" t="s">
        <v>61</v>
      </c>
      <c r="Q29" s="61">
        <v>440000</v>
      </c>
      <c r="R29" s="67">
        <f t="shared" si="5"/>
        <v>399999.99999999994</v>
      </c>
      <c r="S29" s="26"/>
      <c r="U29" s="27"/>
    </row>
    <row r="30" spans="1:25" ht="18.75" customHeight="1" thickTop="1" thickBot="1" x14ac:dyDescent="0.35">
      <c r="A30" s="9">
        <v>26</v>
      </c>
      <c r="B30" s="100" t="s">
        <v>120</v>
      </c>
      <c r="C30" s="6" t="s">
        <v>50</v>
      </c>
      <c r="D30" s="6">
        <v>20</v>
      </c>
      <c r="E30" s="6">
        <v>0</v>
      </c>
      <c r="F30" s="31">
        <f t="shared" si="0"/>
        <v>20</v>
      </c>
      <c r="G30" s="9" t="s">
        <v>61</v>
      </c>
      <c r="H30" s="70">
        <v>880000</v>
      </c>
      <c r="I30" s="67">
        <f t="shared" si="12"/>
        <v>799999.99999999988</v>
      </c>
      <c r="J30" s="32">
        <f t="shared" si="13"/>
        <v>39999.999999999993</v>
      </c>
      <c r="K30" s="79">
        <v>0.5</v>
      </c>
      <c r="L30" s="74">
        <f t="shared" si="14"/>
        <v>19999.999999999996</v>
      </c>
      <c r="M30" s="21">
        <v>6</v>
      </c>
      <c r="N30" s="76">
        <f t="shared" si="15"/>
        <v>119999.99999999997</v>
      </c>
      <c r="O30" s="65" t="s">
        <v>97</v>
      </c>
      <c r="P30" s="65" t="s">
        <v>37</v>
      </c>
      <c r="Q30" s="61">
        <v>220000</v>
      </c>
      <c r="R30" s="67">
        <f t="shared" si="5"/>
        <v>199999.99999999997</v>
      </c>
      <c r="S30" s="26"/>
      <c r="U30" s="27"/>
    </row>
    <row r="31" spans="1:25" ht="18.75" customHeight="1" thickTop="1" thickBot="1" x14ac:dyDescent="0.35">
      <c r="A31" s="9">
        <v>27</v>
      </c>
      <c r="B31" s="100" t="s">
        <v>121</v>
      </c>
      <c r="C31" s="6" t="s">
        <v>12</v>
      </c>
      <c r="D31" s="6">
        <v>5</v>
      </c>
      <c r="E31" s="6">
        <v>3</v>
      </c>
      <c r="F31" s="31">
        <f t="shared" si="0"/>
        <v>2</v>
      </c>
      <c r="G31" s="9" t="s">
        <v>37</v>
      </c>
      <c r="H31" s="70">
        <v>220000</v>
      </c>
      <c r="I31" s="67">
        <f t="shared" si="12"/>
        <v>199999.99999999997</v>
      </c>
      <c r="J31" s="32">
        <f t="shared" si="13"/>
        <v>39999.999999999993</v>
      </c>
      <c r="K31" s="79">
        <v>0.5</v>
      </c>
      <c r="L31" s="74">
        <f t="shared" si="14"/>
        <v>19999.999999999996</v>
      </c>
      <c r="M31" s="21">
        <v>7</v>
      </c>
      <c r="N31" s="76">
        <f t="shared" si="15"/>
        <v>139999.99999999997</v>
      </c>
      <c r="O31" s="65" t="s">
        <v>95</v>
      </c>
      <c r="P31" s="65" t="s">
        <v>37</v>
      </c>
      <c r="Q31" s="61">
        <v>220000</v>
      </c>
      <c r="R31" s="67">
        <f t="shared" si="5"/>
        <v>199999.99999999997</v>
      </c>
      <c r="S31" s="26"/>
      <c r="U31" s="27"/>
    </row>
    <row r="32" spans="1:25" ht="18.75" customHeight="1" thickTop="1" thickBot="1" x14ac:dyDescent="0.35">
      <c r="A32" s="9">
        <v>28</v>
      </c>
      <c r="B32" s="102" t="s">
        <v>58</v>
      </c>
      <c r="C32" s="5" t="s">
        <v>12</v>
      </c>
      <c r="D32" s="5">
        <v>10</v>
      </c>
      <c r="E32" s="5">
        <v>5</v>
      </c>
      <c r="F32" s="31">
        <f t="shared" si="0"/>
        <v>5</v>
      </c>
      <c r="G32" s="9" t="s">
        <v>37</v>
      </c>
      <c r="H32" s="70">
        <v>440000</v>
      </c>
      <c r="I32" s="67">
        <f t="shared" si="4"/>
        <v>399999.99999999994</v>
      </c>
      <c r="J32" s="32">
        <f t="shared" si="1"/>
        <v>39999.999999999993</v>
      </c>
      <c r="K32" s="79">
        <v>0.5</v>
      </c>
      <c r="L32" s="74">
        <f t="shared" si="2"/>
        <v>19999.999999999996</v>
      </c>
      <c r="M32" s="21">
        <v>4</v>
      </c>
      <c r="N32" s="76">
        <f t="shared" si="3"/>
        <v>79999.999999999985</v>
      </c>
      <c r="O32" s="97" t="s">
        <v>18</v>
      </c>
      <c r="P32" s="97"/>
      <c r="Q32" s="97"/>
      <c r="R32" s="68">
        <f>SUM(Q5:Q31)</f>
        <v>14080000</v>
      </c>
      <c r="S32" s="26"/>
      <c r="U32" s="27"/>
    </row>
    <row r="33" spans="1:26" ht="18.75" customHeight="1" thickTop="1" thickBot="1" x14ac:dyDescent="0.35">
      <c r="A33" s="9">
        <v>29</v>
      </c>
      <c r="B33" s="102" t="s">
        <v>47</v>
      </c>
      <c r="C33" s="5" t="s">
        <v>12</v>
      </c>
      <c r="D33" s="24">
        <v>10</v>
      </c>
      <c r="E33" s="24">
        <v>7</v>
      </c>
      <c r="F33" s="31">
        <f t="shared" si="0"/>
        <v>3</v>
      </c>
      <c r="G33" s="9" t="s">
        <v>61</v>
      </c>
      <c r="H33" s="70">
        <v>440000</v>
      </c>
      <c r="I33" s="67">
        <f t="shared" si="4"/>
        <v>399999.99999999994</v>
      </c>
      <c r="J33" s="32">
        <f t="shared" si="1"/>
        <v>39999.999999999993</v>
      </c>
      <c r="K33" s="79">
        <v>0.5</v>
      </c>
      <c r="L33" s="74">
        <f t="shared" si="2"/>
        <v>19999.999999999996</v>
      </c>
      <c r="M33" s="21">
        <v>7</v>
      </c>
      <c r="N33" s="76">
        <f t="shared" si="3"/>
        <v>139999.99999999997</v>
      </c>
      <c r="O33" s="97" t="s">
        <v>16</v>
      </c>
      <c r="P33" s="97"/>
      <c r="Q33" s="97"/>
      <c r="R33" s="66"/>
      <c r="S33" s="26"/>
      <c r="U33" s="27"/>
    </row>
    <row r="34" spans="1:26" ht="18.75" customHeight="1" thickTop="1" thickBot="1" x14ac:dyDescent="0.35">
      <c r="A34" s="9">
        <v>30</v>
      </c>
      <c r="B34" s="102" t="s">
        <v>122</v>
      </c>
      <c r="C34" s="5" t="s">
        <v>12</v>
      </c>
      <c r="D34" s="5">
        <v>10</v>
      </c>
      <c r="E34" s="5">
        <v>9</v>
      </c>
      <c r="F34" s="31">
        <f t="shared" si="0"/>
        <v>1</v>
      </c>
      <c r="G34" s="9" t="s">
        <v>61</v>
      </c>
      <c r="H34" s="70">
        <v>440000</v>
      </c>
      <c r="I34" s="67">
        <f t="shared" si="4"/>
        <v>399999.99999999994</v>
      </c>
      <c r="J34" s="32">
        <f t="shared" si="1"/>
        <v>39999.999999999993</v>
      </c>
      <c r="K34" s="79">
        <v>0.5</v>
      </c>
      <c r="L34" s="74">
        <f t="shared" si="2"/>
        <v>19999.999999999996</v>
      </c>
      <c r="M34" s="21">
        <v>3</v>
      </c>
      <c r="N34" s="76">
        <f t="shared" si="3"/>
        <v>59999.999999999985</v>
      </c>
      <c r="O34" s="97" t="s">
        <v>17</v>
      </c>
      <c r="P34" s="97"/>
      <c r="Q34" s="97"/>
      <c r="R34" s="66">
        <f>R33+R32</f>
        <v>14080000</v>
      </c>
      <c r="S34" s="26"/>
      <c r="U34" s="27"/>
    </row>
    <row r="35" spans="1:26" ht="18.75" customHeight="1" thickTop="1" thickBot="1" x14ac:dyDescent="0.35">
      <c r="A35" s="9">
        <v>31</v>
      </c>
      <c r="B35" s="102" t="s">
        <v>122</v>
      </c>
      <c r="C35" s="5" t="s">
        <v>12</v>
      </c>
      <c r="D35" s="5">
        <v>10</v>
      </c>
      <c r="E35" s="5">
        <v>0</v>
      </c>
      <c r="F35" s="31">
        <f t="shared" si="0"/>
        <v>10</v>
      </c>
      <c r="G35" s="9" t="s">
        <v>36</v>
      </c>
      <c r="H35" s="70">
        <v>440000</v>
      </c>
      <c r="I35" s="67">
        <f t="shared" si="4"/>
        <v>440000</v>
      </c>
      <c r="J35" s="32">
        <f t="shared" si="1"/>
        <v>44000</v>
      </c>
      <c r="K35" s="79">
        <v>0.5</v>
      </c>
      <c r="L35" s="74">
        <f t="shared" si="2"/>
        <v>22000</v>
      </c>
      <c r="M35" s="9">
        <v>5</v>
      </c>
      <c r="N35" s="76">
        <f t="shared" si="3"/>
        <v>110000</v>
      </c>
      <c r="O35" s="88" t="s">
        <v>62</v>
      </c>
      <c r="P35" s="88"/>
      <c r="Q35" s="88"/>
      <c r="R35" s="93"/>
      <c r="S35" s="26"/>
      <c r="T35" s="10"/>
      <c r="U35" s="91"/>
      <c r="V35" s="91"/>
      <c r="W35" s="91"/>
      <c r="X35" s="10"/>
    </row>
    <row r="36" spans="1:26" ht="18.75" customHeight="1" thickTop="1" thickBot="1" x14ac:dyDescent="0.35">
      <c r="A36" s="9">
        <v>32</v>
      </c>
      <c r="B36" s="102" t="s">
        <v>123</v>
      </c>
      <c r="C36" s="5" t="s">
        <v>12</v>
      </c>
      <c r="D36" s="24">
        <v>20</v>
      </c>
      <c r="E36" s="24">
        <v>4</v>
      </c>
      <c r="F36" s="31">
        <f t="shared" si="0"/>
        <v>16</v>
      </c>
      <c r="G36" s="9" t="s">
        <v>37</v>
      </c>
      <c r="H36" s="71">
        <v>880000</v>
      </c>
      <c r="I36" s="67">
        <f t="shared" si="4"/>
        <v>799999.99999999988</v>
      </c>
      <c r="J36" s="32">
        <f t="shared" si="1"/>
        <v>39999.999999999993</v>
      </c>
      <c r="K36" s="79">
        <v>0.5</v>
      </c>
      <c r="L36" s="74">
        <f t="shared" si="2"/>
        <v>19999.999999999996</v>
      </c>
      <c r="M36" s="103">
        <v>7</v>
      </c>
      <c r="N36" s="76">
        <f t="shared" si="3"/>
        <v>139999.99999999997</v>
      </c>
      <c r="O36" s="88"/>
      <c r="P36" s="88"/>
      <c r="Q36" s="88"/>
      <c r="R36" s="93"/>
      <c r="S36" s="26"/>
      <c r="T36" s="10"/>
      <c r="U36" s="91"/>
      <c r="V36" s="91"/>
      <c r="W36" s="91"/>
      <c r="X36" s="10"/>
    </row>
    <row r="37" spans="1:26" ht="18.75" customHeight="1" thickTop="1" thickBot="1" x14ac:dyDescent="0.35">
      <c r="A37" s="9">
        <v>33</v>
      </c>
      <c r="B37" s="102" t="s">
        <v>54</v>
      </c>
      <c r="C37" s="5" t="s">
        <v>50</v>
      </c>
      <c r="D37" s="5">
        <v>10</v>
      </c>
      <c r="E37" s="5">
        <v>9</v>
      </c>
      <c r="F37" s="31">
        <f t="shared" si="0"/>
        <v>1</v>
      </c>
      <c r="G37" s="9" t="s">
        <v>61</v>
      </c>
      <c r="H37" s="70">
        <v>440000</v>
      </c>
      <c r="I37" s="67">
        <f t="shared" si="4"/>
        <v>399999.99999999994</v>
      </c>
      <c r="J37" s="32">
        <f t="shared" si="1"/>
        <v>39999.999999999993</v>
      </c>
      <c r="K37" s="79">
        <v>0.5</v>
      </c>
      <c r="L37" s="74">
        <f t="shared" si="2"/>
        <v>19999.999999999996</v>
      </c>
      <c r="M37" s="103">
        <v>9</v>
      </c>
      <c r="N37" s="76">
        <f t="shared" si="3"/>
        <v>179999.99999999997</v>
      </c>
      <c r="O37" s="88" t="s">
        <v>63</v>
      </c>
      <c r="P37" s="88"/>
      <c r="Q37" s="88"/>
      <c r="R37" s="92">
        <f>SUMIF(N4:N49,"&gt;0",N4:N49)</f>
        <v>3790000</v>
      </c>
      <c r="S37" s="26"/>
      <c r="T37" s="10"/>
      <c r="U37" s="91"/>
      <c r="V37" s="91"/>
      <c r="W37" s="91"/>
      <c r="X37" s="10"/>
    </row>
    <row r="38" spans="1:26" ht="18.75" customHeight="1" thickTop="1" thickBot="1" x14ac:dyDescent="0.35">
      <c r="A38" s="9">
        <v>34</v>
      </c>
      <c r="B38" s="102" t="s">
        <v>54</v>
      </c>
      <c r="C38" s="5" t="s">
        <v>50</v>
      </c>
      <c r="D38" s="24">
        <v>10</v>
      </c>
      <c r="E38" s="24">
        <v>0</v>
      </c>
      <c r="F38" s="31">
        <f t="shared" si="0"/>
        <v>10</v>
      </c>
      <c r="G38" s="9" t="s">
        <v>61</v>
      </c>
      <c r="H38" s="71">
        <v>440000</v>
      </c>
      <c r="I38" s="67">
        <f t="shared" si="4"/>
        <v>399999.99999999994</v>
      </c>
      <c r="J38" s="32">
        <f t="shared" si="1"/>
        <v>39999.999999999993</v>
      </c>
      <c r="K38" s="79">
        <v>0.5</v>
      </c>
      <c r="L38" s="74">
        <f t="shared" si="2"/>
        <v>19999.999999999996</v>
      </c>
      <c r="M38" s="103">
        <v>0</v>
      </c>
      <c r="N38" s="76">
        <f t="shared" si="3"/>
        <v>0</v>
      </c>
      <c r="O38" s="88"/>
      <c r="P38" s="88"/>
      <c r="Q38" s="88"/>
      <c r="R38" s="92"/>
      <c r="S38" s="26"/>
      <c r="T38" s="10"/>
      <c r="U38" s="91"/>
      <c r="V38" s="91"/>
      <c r="W38" s="91"/>
      <c r="X38" s="10"/>
      <c r="Y38"/>
      <c r="Z38"/>
    </row>
    <row r="39" spans="1:26" ht="18.75" customHeight="1" thickTop="1" thickBot="1" x14ac:dyDescent="0.35">
      <c r="A39" s="9">
        <v>35</v>
      </c>
      <c r="B39" s="102" t="s">
        <v>52</v>
      </c>
      <c r="C39" s="3" t="s">
        <v>12</v>
      </c>
      <c r="D39" s="8">
        <v>10</v>
      </c>
      <c r="E39" s="8">
        <v>8</v>
      </c>
      <c r="F39" s="31">
        <f t="shared" si="0"/>
        <v>2</v>
      </c>
      <c r="G39" s="9" t="s">
        <v>37</v>
      </c>
      <c r="H39" s="71">
        <v>440000</v>
      </c>
      <c r="I39" s="67">
        <f t="shared" si="4"/>
        <v>399999.99999999994</v>
      </c>
      <c r="J39" s="32">
        <f t="shared" si="1"/>
        <v>39999.999999999993</v>
      </c>
      <c r="K39" s="79">
        <v>0.5</v>
      </c>
      <c r="L39" s="74">
        <f t="shared" si="2"/>
        <v>19999.999999999996</v>
      </c>
      <c r="M39" s="103">
        <v>4</v>
      </c>
      <c r="N39" s="76">
        <f t="shared" si="3"/>
        <v>79999.999999999985</v>
      </c>
      <c r="O39" s="88" t="s">
        <v>23</v>
      </c>
      <c r="P39" s="88"/>
      <c r="Q39" s="88"/>
      <c r="R39" s="89">
        <f>R35+R37</f>
        <v>3790000</v>
      </c>
      <c r="X39"/>
    </row>
    <row r="40" spans="1:26" ht="18.75" customHeight="1" thickTop="1" thickBot="1" x14ac:dyDescent="0.35">
      <c r="A40" s="9">
        <v>36</v>
      </c>
      <c r="B40" s="102" t="s">
        <v>124</v>
      </c>
      <c r="C40" s="3" t="s">
        <v>12</v>
      </c>
      <c r="D40" s="8">
        <v>5</v>
      </c>
      <c r="E40" s="8">
        <v>5</v>
      </c>
      <c r="F40" s="31">
        <f t="shared" si="0"/>
        <v>0</v>
      </c>
      <c r="G40" s="9" t="s">
        <v>61</v>
      </c>
      <c r="H40" s="72">
        <v>220000</v>
      </c>
      <c r="I40" s="67">
        <f t="shared" si="4"/>
        <v>199999.99999999997</v>
      </c>
      <c r="J40" s="32">
        <f t="shared" si="1"/>
        <v>39999.999999999993</v>
      </c>
      <c r="K40" s="79">
        <v>0.5</v>
      </c>
      <c r="L40" s="74">
        <f t="shared" si="2"/>
        <v>19999.999999999996</v>
      </c>
      <c r="M40" s="103">
        <v>9</v>
      </c>
      <c r="N40" s="76">
        <f t="shared" si="3"/>
        <v>179999.99999999997</v>
      </c>
      <c r="O40" s="88"/>
      <c r="P40" s="88"/>
      <c r="Q40" s="88"/>
      <c r="R40" s="89"/>
      <c r="X40"/>
      <c r="Y40"/>
      <c r="Z40"/>
    </row>
    <row r="41" spans="1:26" ht="18.75" customHeight="1" thickTop="1" thickBot="1" x14ac:dyDescent="0.35">
      <c r="A41" s="9">
        <v>37</v>
      </c>
      <c r="B41" s="102" t="s">
        <v>57</v>
      </c>
      <c r="C41" s="3" t="s">
        <v>50</v>
      </c>
      <c r="D41" s="8">
        <v>10</v>
      </c>
      <c r="E41" s="8">
        <v>8</v>
      </c>
      <c r="F41" s="31">
        <f t="shared" si="0"/>
        <v>2</v>
      </c>
      <c r="G41" s="9" t="s">
        <v>37</v>
      </c>
      <c r="H41" s="72">
        <v>440000</v>
      </c>
      <c r="I41" s="67">
        <f t="shared" si="4"/>
        <v>399999.99999999994</v>
      </c>
      <c r="J41" s="32">
        <f t="shared" si="1"/>
        <v>39999.999999999993</v>
      </c>
      <c r="K41" s="79">
        <v>0.5</v>
      </c>
      <c r="L41" s="74">
        <f t="shared" si="2"/>
        <v>19999.999999999996</v>
      </c>
      <c r="M41" s="103">
        <v>8</v>
      </c>
      <c r="N41" s="76">
        <f t="shared" si="3"/>
        <v>159999.99999999997</v>
      </c>
      <c r="O41" s="90" t="s">
        <v>40</v>
      </c>
      <c r="P41" s="90"/>
      <c r="Q41" s="90"/>
      <c r="R41" s="90"/>
      <c r="S41"/>
      <c r="X41"/>
      <c r="Y41"/>
      <c r="Z41"/>
    </row>
    <row r="42" spans="1:26" ht="18.75" customHeight="1" thickTop="1" thickBot="1" x14ac:dyDescent="0.35">
      <c r="A42" s="9">
        <v>38</v>
      </c>
      <c r="B42" s="102"/>
      <c r="C42" s="3"/>
      <c r="D42" s="8"/>
      <c r="E42" s="8"/>
      <c r="F42" s="31">
        <f t="shared" si="0"/>
        <v>0</v>
      </c>
      <c r="G42" s="9"/>
      <c r="H42" s="71"/>
      <c r="I42" s="67">
        <f t="shared" si="4"/>
        <v>0</v>
      </c>
      <c r="J42" s="32" t="e">
        <f t="shared" si="1"/>
        <v>#DIV/0!</v>
      </c>
      <c r="K42" s="79">
        <v>0.5</v>
      </c>
      <c r="L42" s="74" t="e">
        <f t="shared" si="2"/>
        <v>#DIV/0!</v>
      </c>
      <c r="M42" s="103"/>
      <c r="N42" s="76" t="e">
        <f t="shared" si="3"/>
        <v>#DIV/0!</v>
      </c>
      <c r="O42" s="90" t="s">
        <v>39</v>
      </c>
      <c r="P42" s="90"/>
      <c r="Q42" s="90"/>
      <c r="R42" s="90"/>
      <c r="S42"/>
      <c r="X42"/>
      <c r="Y42"/>
      <c r="Z42"/>
    </row>
    <row r="43" spans="1:26" ht="18.75" customHeight="1" thickTop="1" thickBot="1" x14ac:dyDescent="0.35">
      <c r="A43" s="9">
        <v>39</v>
      </c>
      <c r="B43" s="102"/>
      <c r="C43" s="3"/>
      <c r="D43" s="8"/>
      <c r="E43" s="8"/>
      <c r="F43" s="31">
        <f t="shared" si="0"/>
        <v>0</v>
      </c>
      <c r="G43" s="9"/>
      <c r="H43" s="72"/>
      <c r="I43" s="67">
        <f t="shared" si="4"/>
        <v>0</v>
      </c>
      <c r="J43" s="32" t="e">
        <f t="shared" si="1"/>
        <v>#DIV/0!</v>
      </c>
      <c r="K43" s="79">
        <v>0.5</v>
      </c>
      <c r="L43" s="74" t="e">
        <f t="shared" si="2"/>
        <v>#DIV/0!</v>
      </c>
      <c r="M43" s="103"/>
      <c r="N43" s="76" t="e">
        <f t="shared" si="3"/>
        <v>#DIV/0!</v>
      </c>
      <c r="O43" s="90" t="s">
        <v>19</v>
      </c>
      <c r="P43" s="90"/>
      <c r="Q43" s="90"/>
      <c r="R43" s="90"/>
      <c r="S43"/>
      <c r="X43"/>
      <c r="Y43"/>
      <c r="Z43"/>
    </row>
    <row r="44" spans="1:26" ht="18.75" customHeight="1" thickTop="1" thickBot="1" x14ac:dyDescent="0.35">
      <c r="A44" s="9">
        <v>40</v>
      </c>
      <c r="B44" s="102"/>
      <c r="C44" s="3"/>
      <c r="D44" s="8"/>
      <c r="E44" s="8"/>
      <c r="F44" s="31">
        <f t="shared" si="0"/>
        <v>0</v>
      </c>
      <c r="G44" s="9"/>
      <c r="H44" s="72"/>
      <c r="I44" s="67">
        <f t="shared" si="4"/>
        <v>0</v>
      </c>
      <c r="J44" s="32" t="e">
        <f t="shared" si="1"/>
        <v>#DIV/0!</v>
      </c>
      <c r="K44" s="79">
        <v>0.5</v>
      </c>
      <c r="L44" s="74" t="e">
        <f t="shared" si="2"/>
        <v>#DIV/0!</v>
      </c>
      <c r="M44" s="103"/>
      <c r="N44" s="76" t="e">
        <f t="shared" si="3"/>
        <v>#DIV/0!</v>
      </c>
      <c r="O44" s="90" t="s">
        <v>41</v>
      </c>
      <c r="P44" s="90"/>
      <c r="Q44" s="90"/>
      <c r="R44" s="90"/>
      <c r="S44"/>
      <c r="X44"/>
      <c r="Y44"/>
      <c r="Z44"/>
    </row>
    <row r="45" spans="1:26" ht="18.75" customHeight="1" thickTop="1" thickBot="1" x14ac:dyDescent="0.35">
      <c r="A45" s="9">
        <v>41</v>
      </c>
      <c r="B45" s="20"/>
      <c r="C45" s="3"/>
      <c r="D45" s="8"/>
      <c r="E45" s="8"/>
      <c r="F45" s="31">
        <f t="shared" si="0"/>
        <v>0</v>
      </c>
      <c r="G45" s="9"/>
      <c r="H45" s="72"/>
      <c r="I45" s="67">
        <f t="shared" si="4"/>
        <v>0</v>
      </c>
      <c r="J45" s="32" t="e">
        <f t="shared" si="1"/>
        <v>#DIV/0!</v>
      </c>
      <c r="K45" s="79">
        <v>0.5</v>
      </c>
      <c r="L45" s="74" t="e">
        <f t="shared" si="2"/>
        <v>#DIV/0!</v>
      </c>
      <c r="M45" s="103"/>
      <c r="N45" s="76" t="e">
        <f t="shared" si="3"/>
        <v>#DIV/0!</v>
      </c>
      <c r="O45" s="90" t="s">
        <v>42</v>
      </c>
      <c r="P45" s="90"/>
      <c r="Q45" s="90"/>
      <c r="R45" s="90"/>
      <c r="S45"/>
      <c r="X45"/>
      <c r="Y45"/>
      <c r="Z45"/>
    </row>
    <row r="46" spans="1:26" ht="18.75" customHeight="1" thickTop="1" thickBot="1" x14ac:dyDescent="0.35">
      <c r="A46" s="9">
        <v>42</v>
      </c>
      <c r="B46" s="20"/>
      <c r="C46" s="8"/>
      <c r="D46" s="8"/>
      <c r="E46" s="8"/>
      <c r="F46" s="31">
        <f t="shared" si="0"/>
        <v>0</v>
      </c>
      <c r="G46" s="9"/>
      <c r="H46" s="72"/>
      <c r="I46" s="67">
        <f t="shared" si="4"/>
        <v>0</v>
      </c>
      <c r="J46" s="32" t="e">
        <f t="shared" si="1"/>
        <v>#DIV/0!</v>
      </c>
      <c r="K46" s="79">
        <v>0.5</v>
      </c>
      <c r="L46" s="74" t="e">
        <f t="shared" si="2"/>
        <v>#DIV/0!</v>
      </c>
      <c r="M46" s="103"/>
      <c r="N46" s="76" t="e">
        <f t="shared" si="3"/>
        <v>#DIV/0!</v>
      </c>
      <c r="O46" s="90" t="s">
        <v>43</v>
      </c>
      <c r="P46" s="90"/>
      <c r="Q46" s="90"/>
      <c r="R46" s="90"/>
      <c r="S46"/>
      <c r="X46"/>
      <c r="Y46"/>
      <c r="Z46"/>
    </row>
    <row r="47" spans="1:26" ht="18.75" customHeight="1" thickTop="1" thickBot="1" x14ac:dyDescent="0.35">
      <c r="A47" s="9">
        <v>43</v>
      </c>
      <c r="B47" s="20"/>
      <c r="C47" s="8"/>
      <c r="D47" s="8"/>
      <c r="E47" s="8"/>
      <c r="F47" s="31">
        <f t="shared" si="0"/>
        <v>0</v>
      </c>
      <c r="G47" s="9"/>
      <c r="H47" s="72"/>
      <c r="I47" s="67">
        <f t="shared" si="4"/>
        <v>0</v>
      </c>
      <c r="J47" s="32" t="e">
        <f t="shared" si="1"/>
        <v>#DIV/0!</v>
      </c>
      <c r="K47" s="79">
        <v>0.5</v>
      </c>
      <c r="L47" s="74" t="e">
        <f t="shared" si="2"/>
        <v>#DIV/0!</v>
      </c>
      <c r="M47" s="103"/>
      <c r="N47" s="76" t="e">
        <f t="shared" si="3"/>
        <v>#DIV/0!</v>
      </c>
      <c r="O47" s="90" t="s">
        <v>44</v>
      </c>
      <c r="P47" s="90"/>
      <c r="Q47" s="90"/>
      <c r="R47" s="90"/>
      <c r="S47"/>
      <c r="X47"/>
      <c r="Y47"/>
      <c r="Z47"/>
    </row>
    <row r="48" spans="1:26" ht="18.75" customHeight="1" thickTop="1" thickBot="1" x14ac:dyDescent="0.35">
      <c r="A48" s="9">
        <v>44</v>
      </c>
      <c r="B48" s="20"/>
      <c r="C48" s="8"/>
      <c r="D48" s="8"/>
      <c r="E48" s="8"/>
      <c r="F48" s="31">
        <f t="shared" si="0"/>
        <v>0</v>
      </c>
      <c r="G48" s="9"/>
      <c r="H48" s="72"/>
      <c r="I48" s="67">
        <f t="shared" si="4"/>
        <v>0</v>
      </c>
      <c r="J48" s="32" t="e">
        <f t="shared" si="1"/>
        <v>#DIV/0!</v>
      </c>
      <c r="K48" s="79">
        <v>0.5</v>
      </c>
      <c r="L48" s="74" t="e">
        <f t="shared" si="2"/>
        <v>#DIV/0!</v>
      </c>
      <c r="M48" s="103"/>
      <c r="N48" s="76" t="e">
        <f t="shared" si="3"/>
        <v>#DIV/0!</v>
      </c>
      <c r="O48" s="90" t="s">
        <v>45</v>
      </c>
      <c r="P48" s="90"/>
      <c r="Q48" s="90"/>
      <c r="R48" s="90"/>
      <c r="S48"/>
    </row>
    <row r="49" spans="1:19" ht="18.75" customHeight="1" thickTop="1" thickBot="1" x14ac:dyDescent="0.35">
      <c r="A49" s="9">
        <v>45</v>
      </c>
      <c r="B49" s="20"/>
      <c r="C49" s="8"/>
      <c r="D49" s="8"/>
      <c r="E49" s="8"/>
      <c r="F49" s="31">
        <f t="shared" si="0"/>
        <v>0</v>
      </c>
      <c r="G49" s="9"/>
      <c r="H49" s="72"/>
      <c r="I49" s="67">
        <f t="shared" si="4"/>
        <v>0</v>
      </c>
      <c r="J49" s="32" t="e">
        <f t="shared" si="1"/>
        <v>#DIV/0!</v>
      </c>
      <c r="K49" s="79">
        <v>0.5</v>
      </c>
      <c r="L49" s="74" t="e">
        <f t="shared" si="2"/>
        <v>#DIV/0!</v>
      </c>
      <c r="M49" s="103"/>
      <c r="N49" s="76" t="e">
        <f t="shared" si="3"/>
        <v>#DIV/0!</v>
      </c>
      <c r="O49" s="90" t="s">
        <v>46</v>
      </c>
      <c r="P49" s="90"/>
      <c r="Q49" s="90"/>
      <c r="R49" s="90"/>
      <c r="S49"/>
    </row>
    <row r="50" spans="1:19" ht="17.25" thickTop="1" x14ac:dyDescent="0.3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</row>
    <row r="51" spans="1:19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9" x14ac:dyDescent="0.3">
      <c r="A52" s="87"/>
      <c r="B52" s="7"/>
      <c r="C52" s="7"/>
      <c r="D52" s="7"/>
      <c r="E52" s="87"/>
      <c r="F52" s="87"/>
      <c r="G52" s="7"/>
      <c r="H52" s="7"/>
      <c r="I52" s="7"/>
      <c r="J52" s="7"/>
      <c r="K52" s="7"/>
      <c r="L52" s="7"/>
      <c r="M52" s="7"/>
      <c r="N52" s="7"/>
    </row>
    <row r="53" spans="1:19" x14ac:dyDescent="0.3">
      <c r="A53" s="87"/>
      <c r="B53" s="7"/>
      <c r="C53" s="7"/>
      <c r="D53" s="7"/>
      <c r="E53" s="87"/>
      <c r="F53" s="87"/>
      <c r="G53" s="7"/>
      <c r="H53" s="7"/>
      <c r="I53" s="7"/>
      <c r="J53" s="7"/>
      <c r="K53" s="7"/>
      <c r="L53" s="7"/>
      <c r="M53" s="7"/>
      <c r="N53" s="7"/>
    </row>
    <row r="54" spans="1:19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9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9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9" x14ac:dyDescent="0.3">
      <c r="A57" s="87"/>
      <c r="B57" s="87"/>
      <c r="C57" s="87"/>
      <c r="D57" s="87"/>
      <c r="E57" s="87"/>
      <c r="F57" s="87"/>
      <c r="G57" s="7"/>
      <c r="H57" s="7"/>
      <c r="I57" s="7"/>
      <c r="J57" s="7"/>
      <c r="K57" s="7"/>
      <c r="L57" s="7"/>
      <c r="M57" s="7"/>
      <c r="N57" s="7"/>
    </row>
    <row r="58" spans="1:19" x14ac:dyDescent="0.3">
      <c r="A58" s="87"/>
      <c r="B58" s="87"/>
      <c r="C58" s="7"/>
      <c r="D58" s="7"/>
      <c r="E58" s="87"/>
      <c r="F58" s="87"/>
      <c r="G58" s="7"/>
      <c r="H58" s="7"/>
      <c r="I58" s="7"/>
      <c r="J58" s="7"/>
      <c r="K58" s="7"/>
      <c r="L58" s="7"/>
      <c r="M58" s="7"/>
      <c r="N58" s="7"/>
    </row>
    <row r="59" spans="1:19" x14ac:dyDescent="0.3">
      <c r="A59" s="87"/>
      <c r="B59" s="7"/>
      <c r="C59" s="7"/>
      <c r="D59" s="7"/>
      <c r="E59" s="87"/>
      <c r="F59" s="87"/>
      <c r="G59" s="7"/>
      <c r="H59" s="7"/>
      <c r="I59" s="7"/>
      <c r="J59" s="7"/>
      <c r="K59" s="7"/>
      <c r="L59" s="7"/>
      <c r="M59" s="7"/>
      <c r="N59" s="7"/>
    </row>
    <row r="60" spans="1:19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9" x14ac:dyDescent="0.3">
      <c r="A61" s="87"/>
      <c r="B61" s="8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</sheetData>
  <mergeCells count="34">
    <mergeCell ref="A1:H2"/>
    <mergeCell ref="O3:R3"/>
    <mergeCell ref="O32:Q32"/>
    <mergeCell ref="O33:Q33"/>
    <mergeCell ref="O34:Q34"/>
    <mergeCell ref="U35:W35"/>
    <mergeCell ref="U36:W36"/>
    <mergeCell ref="O37:Q38"/>
    <mergeCell ref="R37:R38"/>
    <mergeCell ref="U37:W37"/>
    <mergeCell ref="U38:W38"/>
    <mergeCell ref="O35:Q36"/>
    <mergeCell ref="R35:R36"/>
    <mergeCell ref="A50:N50"/>
    <mergeCell ref="O39:Q40"/>
    <mergeCell ref="R39:R40"/>
    <mergeCell ref="O41:R41"/>
    <mergeCell ref="O42:R42"/>
    <mergeCell ref="O43:R43"/>
    <mergeCell ref="O44:R44"/>
    <mergeCell ref="O45:R45"/>
    <mergeCell ref="O46:R46"/>
    <mergeCell ref="O47:R47"/>
    <mergeCell ref="O48:R48"/>
    <mergeCell ref="O49:R49"/>
    <mergeCell ref="A61:B61"/>
    <mergeCell ref="A52:A53"/>
    <mergeCell ref="E52:F52"/>
    <mergeCell ref="E53:F53"/>
    <mergeCell ref="A57:A59"/>
    <mergeCell ref="B57:B58"/>
    <mergeCell ref="C57:D57"/>
    <mergeCell ref="E57:F58"/>
    <mergeCell ref="E59:F59"/>
  </mergeCells>
  <phoneticPr fontId="26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"/>
  <sheetViews>
    <sheetView tabSelected="1" zoomScale="85" zoomScaleNormal="85" workbookViewId="0">
      <selection activeCell="G13" sqref="G13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4" t="s">
        <v>32</v>
      </c>
      <c r="B1" s="94"/>
      <c r="C1" s="94"/>
      <c r="D1" s="94"/>
      <c r="E1" s="94"/>
      <c r="F1" s="94"/>
      <c r="G1" s="94"/>
      <c r="H1" s="94"/>
      <c r="I1" s="40" t="s">
        <v>26</v>
      </c>
      <c r="J1" s="98" t="s">
        <v>126</v>
      </c>
      <c r="K1" s="39" t="s">
        <v>4</v>
      </c>
      <c r="L1" s="39" t="s">
        <v>2</v>
      </c>
      <c r="M1" s="39" t="s">
        <v>12</v>
      </c>
      <c r="N1" s="44" t="s">
        <v>28</v>
      </c>
      <c r="O1" s="44" t="s">
        <v>30</v>
      </c>
      <c r="P1" s="45" t="s">
        <v>31</v>
      </c>
      <c r="Q1" s="77" t="s">
        <v>35</v>
      </c>
      <c r="R1" s="44" t="s">
        <v>34</v>
      </c>
    </row>
    <row r="2" spans="1:25" ht="21.75" customHeight="1" thickTop="1" thickBot="1" x14ac:dyDescent="0.35">
      <c r="A2" s="95"/>
      <c r="B2" s="95"/>
      <c r="C2" s="95"/>
      <c r="D2" s="95"/>
      <c r="E2" s="95"/>
      <c r="F2" s="95"/>
      <c r="G2" s="95"/>
      <c r="H2" s="95"/>
      <c r="I2" s="40" t="s">
        <v>27</v>
      </c>
      <c r="J2" s="98" t="s">
        <v>106</v>
      </c>
      <c r="K2" s="46">
        <f>COUNTA(B4:B45)</f>
        <v>25</v>
      </c>
      <c r="L2" s="46">
        <f>COUNTIFS(C4:C45,"남")</f>
        <v>9</v>
      </c>
      <c r="M2" s="46">
        <f>COUNTIFS(C4:C45,"여")</f>
        <v>16</v>
      </c>
      <c r="N2" s="47">
        <f>AVERAGEIF(J4:J44,"&gt;0",J4:J44)</f>
        <v>40000</v>
      </c>
      <c r="O2" s="48">
        <f>SUM(M4:M45)</f>
        <v>76</v>
      </c>
      <c r="P2" s="49">
        <f>SUM(F4:F45)</f>
        <v>232</v>
      </c>
      <c r="Q2" s="78">
        <f>SUM(Q5:Q27)</f>
        <v>7480000</v>
      </c>
      <c r="R2" s="78">
        <f>SUM(R5:R27)</f>
        <v>6799999.9999999991</v>
      </c>
    </row>
    <row r="3" spans="1:25" ht="30" thickTop="1" thickBot="1" x14ac:dyDescent="0.35">
      <c r="A3" s="39" t="s">
        <v>0</v>
      </c>
      <c r="B3" s="40" t="s">
        <v>3</v>
      </c>
      <c r="C3" s="39" t="s">
        <v>1</v>
      </c>
      <c r="D3" s="39" t="s">
        <v>21</v>
      </c>
      <c r="E3" s="40" t="s">
        <v>38</v>
      </c>
      <c r="F3" s="40" t="s">
        <v>5</v>
      </c>
      <c r="G3" s="40" t="s">
        <v>33</v>
      </c>
      <c r="H3" s="40" t="s">
        <v>15</v>
      </c>
      <c r="I3" s="41" t="s">
        <v>22</v>
      </c>
      <c r="J3" s="41" t="s">
        <v>11</v>
      </c>
      <c r="K3" s="42" t="s">
        <v>13</v>
      </c>
      <c r="L3" s="41" t="s">
        <v>29</v>
      </c>
      <c r="M3" s="41" t="s">
        <v>20</v>
      </c>
      <c r="N3" s="41" t="s">
        <v>14</v>
      </c>
      <c r="O3" s="96" t="s">
        <v>6</v>
      </c>
      <c r="P3" s="96"/>
      <c r="Q3" s="96"/>
      <c r="R3" s="96"/>
    </row>
    <row r="4" spans="1:25" ht="18.75" customHeight="1" thickTop="1" thickBot="1" x14ac:dyDescent="0.35">
      <c r="A4" s="33">
        <v>1</v>
      </c>
      <c r="B4" s="83" t="s">
        <v>71</v>
      </c>
      <c r="C4" s="34" t="s">
        <v>50</v>
      </c>
      <c r="D4" s="35">
        <v>50</v>
      </c>
      <c r="E4" s="35">
        <v>11</v>
      </c>
      <c r="F4" s="36">
        <v>0</v>
      </c>
      <c r="G4" s="33"/>
      <c r="H4" s="69">
        <v>2200000</v>
      </c>
      <c r="I4" s="67">
        <f>IF(G4="현금",H4,H4/1.1)</f>
        <v>1999999.9999999998</v>
      </c>
      <c r="J4" s="37">
        <f t="shared" ref="J4:J45" si="0">I4/D4</f>
        <v>39999.999999999993</v>
      </c>
      <c r="K4" s="79">
        <v>0.5</v>
      </c>
      <c r="L4" s="73">
        <f t="shared" ref="L4:L11" si="1">PRODUCT(K4,J4)</f>
        <v>19999.999999999996</v>
      </c>
      <c r="M4" s="38">
        <v>11</v>
      </c>
      <c r="N4" s="75">
        <f t="shared" ref="N4:N33" si="2">PRODUCT(M4,L4)</f>
        <v>219999.99999999997</v>
      </c>
      <c r="O4" s="50" t="s">
        <v>7</v>
      </c>
      <c r="P4" s="50" t="s">
        <v>10</v>
      </c>
      <c r="Q4" s="50" t="s">
        <v>8</v>
      </c>
      <c r="R4" s="51" t="s">
        <v>9</v>
      </c>
      <c r="Y4" s="4"/>
    </row>
    <row r="5" spans="1:25" ht="18.75" customHeight="1" thickTop="1" thickBot="1" x14ac:dyDescent="0.35">
      <c r="A5" s="9">
        <v>2</v>
      </c>
      <c r="B5" s="84" t="s">
        <v>72</v>
      </c>
      <c r="C5" s="6" t="s">
        <v>50</v>
      </c>
      <c r="D5" s="5">
        <v>30</v>
      </c>
      <c r="E5" s="5">
        <v>8</v>
      </c>
      <c r="F5" s="31">
        <v>0</v>
      </c>
      <c r="G5" s="9"/>
      <c r="H5" s="70">
        <v>1320000</v>
      </c>
      <c r="I5" s="67">
        <f t="shared" ref="I5:I45" si="3">IF(G5="현금",H5,H5/1.1)</f>
        <v>1200000</v>
      </c>
      <c r="J5" s="32">
        <f t="shared" si="0"/>
        <v>40000</v>
      </c>
      <c r="K5" s="79">
        <v>0.5</v>
      </c>
      <c r="L5" s="74">
        <f t="shared" si="1"/>
        <v>20000</v>
      </c>
      <c r="M5" s="21">
        <v>8</v>
      </c>
      <c r="N5" s="76">
        <f t="shared" si="2"/>
        <v>160000</v>
      </c>
      <c r="O5" s="104" t="s">
        <v>80</v>
      </c>
      <c r="P5" s="53"/>
      <c r="Q5" s="54">
        <v>440000</v>
      </c>
      <c r="R5" s="6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84" t="s">
        <v>73</v>
      </c>
      <c r="C6" s="6" t="s">
        <v>50</v>
      </c>
      <c r="D6" s="5">
        <v>33</v>
      </c>
      <c r="E6" s="5">
        <v>3</v>
      </c>
      <c r="F6" s="31">
        <f t="shared" ref="F6:F45" si="4">D6-E6</f>
        <v>30</v>
      </c>
      <c r="G6" s="9"/>
      <c r="H6" s="70">
        <v>1452000</v>
      </c>
      <c r="I6" s="67">
        <f t="shared" si="3"/>
        <v>1320000</v>
      </c>
      <c r="J6" s="32">
        <f t="shared" si="0"/>
        <v>40000</v>
      </c>
      <c r="K6" s="79">
        <v>0.5</v>
      </c>
      <c r="L6" s="74">
        <f t="shared" si="1"/>
        <v>20000</v>
      </c>
      <c r="M6" s="21">
        <v>3</v>
      </c>
      <c r="N6" s="76">
        <f t="shared" si="2"/>
        <v>60000</v>
      </c>
      <c r="O6" s="104" t="s">
        <v>78</v>
      </c>
      <c r="P6" s="56"/>
      <c r="Q6" s="54">
        <v>440000</v>
      </c>
      <c r="R6" s="67">
        <f t="shared" ref="R6:R27" si="5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84" t="s">
        <v>74</v>
      </c>
      <c r="C7" s="6" t="s">
        <v>12</v>
      </c>
      <c r="D7" s="5">
        <v>20</v>
      </c>
      <c r="E7" s="5">
        <v>1</v>
      </c>
      <c r="F7" s="31">
        <f t="shared" si="4"/>
        <v>19</v>
      </c>
      <c r="G7" s="9"/>
      <c r="H7" s="70">
        <v>880000</v>
      </c>
      <c r="I7" s="67">
        <f t="shared" si="3"/>
        <v>799999.99999999988</v>
      </c>
      <c r="J7" s="32">
        <f t="shared" si="0"/>
        <v>39999.999999999993</v>
      </c>
      <c r="K7" s="79">
        <v>0.5</v>
      </c>
      <c r="L7" s="74">
        <f t="shared" si="1"/>
        <v>19999.999999999996</v>
      </c>
      <c r="M7" s="21">
        <v>1</v>
      </c>
      <c r="N7" s="76">
        <f t="shared" si="2"/>
        <v>19999.999999999996</v>
      </c>
      <c r="O7" s="104" t="s">
        <v>77</v>
      </c>
      <c r="P7" s="58"/>
      <c r="Q7" s="54">
        <v>440000</v>
      </c>
      <c r="R7" s="67">
        <f t="shared" si="5"/>
        <v>399999.99999999994</v>
      </c>
      <c r="Y7" s="4"/>
    </row>
    <row r="8" spans="1:25" ht="18.75" customHeight="1" thickTop="1" thickBot="1" x14ac:dyDescent="0.35">
      <c r="A8" s="9">
        <v>5</v>
      </c>
      <c r="B8" s="84" t="s">
        <v>85</v>
      </c>
      <c r="C8" s="6" t="s">
        <v>12</v>
      </c>
      <c r="D8" s="5">
        <v>30</v>
      </c>
      <c r="E8" s="5">
        <v>8</v>
      </c>
      <c r="F8" s="31">
        <f t="shared" si="4"/>
        <v>22</v>
      </c>
      <c r="G8" s="9"/>
      <c r="H8" s="70">
        <v>1320000</v>
      </c>
      <c r="I8" s="67">
        <f t="shared" si="3"/>
        <v>1200000</v>
      </c>
      <c r="J8" s="32">
        <f t="shared" si="0"/>
        <v>40000</v>
      </c>
      <c r="K8" s="79">
        <v>0.5</v>
      </c>
      <c r="L8" s="74">
        <f t="shared" si="1"/>
        <v>20000</v>
      </c>
      <c r="M8" s="21">
        <v>8</v>
      </c>
      <c r="N8" s="76">
        <f t="shared" si="2"/>
        <v>160000</v>
      </c>
      <c r="O8" s="106" t="s">
        <v>93</v>
      </c>
      <c r="P8" s="58"/>
      <c r="Q8" s="54">
        <v>440000</v>
      </c>
      <c r="R8" s="67">
        <f t="shared" si="5"/>
        <v>399999.99999999994</v>
      </c>
      <c r="Y8" s="4"/>
    </row>
    <row r="9" spans="1:25" ht="18.75" customHeight="1" thickTop="1" thickBot="1" x14ac:dyDescent="0.35">
      <c r="A9" s="9">
        <v>6</v>
      </c>
      <c r="B9" s="84" t="s">
        <v>76</v>
      </c>
      <c r="C9" s="6" t="s">
        <v>12</v>
      </c>
      <c r="D9" s="5">
        <v>10</v>
      </c>
      <c r="E9" s="5">
        <v>3</v>
      </c>
      <c r="F9" s="31">
        <f t="shared" si="4"/>
        <v>7</v>
      </c>
      <c r="G9" s="9"/>
      <c r="H9" s="70">
        <v>440000</v>
      </c>
      <c r="I9" s="67">
        <f t="shared" si="3"/>
        <v>399999.99999999994</v>
      </c>
      <c r="J9" s="32">
        <f t="shared" si="0"/>
        <v>39999.999999999993</v>
      </c>
      <c r="K9" s="79">
        <v>0.5</v>
      </c>
      <c r="L9" s="74">
        <f t="shared" si="1"/>
        <v>19999.999999999996</v>
      </c>
      <c r="M9" s="21">
        <v>3</v>
      </c>
      <c r="N9" s="76">
        <f t="shared" si="2"/>
        <v>59999.999999999985</v>
      </c>
      <c r="O9" s="104" t="s">
        <v>91</v>
      </c>
      <c r="P9" s="58"/>
      <c r="Q9" s="54">
        <v>220000</v>
      </c>
      <c r="R9" s="67">
        <f t="shared" si="5"/>
        <v>199999.99999999997</v>
      </c>
      <c r="Y9" s="4"/>
    </row>
    <row r="10" spans="1:25" ht="18.75" customHeight="1" thickTop="1" thickBot="1" x14ac:dyDescent="0.35">
      <c r="A10" s="9">
        <v>7</v>
      </c>
      <c r="B10" s="84" t="s">
        <v>75</v>
      </c>
      <c r="C10" s="6" t="s">
        <v>50</v>
      </c>
      <c r="D10" s="5">
        <v>10</v>
      </c>
      <c r="E10" s="5">
        <v>3</v>
      </c>
      <c r="F10" s="31">
        <f t="shared" si="4"/>
        <v>7</v>
      </c>
      <c r="G10" s="9"/>
      <c r="H10" s="70">
        <v>440000</v>
      </c>
      <c r="I10" s="67">
        <f t="shared" si="3"/>
        <v>399999.99999999994</v>
      </c>
      <c r="J10" s="32">
        <f t="shared" si="0"/>
        <v>39999.999999999993</v>
      </c>
      <c r="K10" s="79">
        <v>0.5</v>
      </c>
      <c r="L10" s="74">
        <f t="shared" si="1"/>
        <v>19999.999999999996</v>
      </c>
      <c r="M10" s="21">
        <v>3</v>
      </c>
      <c r="N10" s="76">
        <f t="shared" si="2"/>
        <v>59999.999999999985</v>
      </c>
      <c r="O10" s="60" t="s">
        <v>65</v>
      </c>
      <c r="P10" s="61"/>
      <c r="Q10" s="54">
        <v>440000</v>
      </c>
      <c r="R10" s="67">
        <f t="shared" si="5"/>
        <v>399999.99999999994</v>
      </c>
      <c r="Y10" s="4"/>
    </row>
    <row r="11" spans="1:25" ht="18.75" customHeight="1" thickTop="1" thickBot="1" x14ac:dyDescent="0.35">
      <c r="A11" s="9">
        <v>8</v>
      </c>
      <c r="B11" s="84" t="s">
        <v>78</v>
      </c>
      <c r="C11" s="6" t="s">
        <v>12</v>
      </c>
      <c r="D11" s="5">
        <v>10</v>
      </c>
      <c r="E11" s="5">
        <v>0</v>
      </c>
      <c r="F11" s="31">
        <f t="shared" si="4"/>
        <v>10</v>
      </c>
      <c r="G11" s="9"/>
      <c r="H11" s="70">
        <v>440000</v>
      </c>
      <c r="I11" s="67">
        <f t="shared" si="3"/>
        <v>399999.99999999994</v>
      </c>
      <c r="J11" s="32">
        <f t="shared" si="0"/>
        <v>39999.999999999993</v>
      </c>
      <c r="K11" s="79">
        <v>0.5</v>
      </c>
      <c r="L11" s="74">
        <f t="shared" si="1"/>
        <v>19999.999999999996</v>
      </c>
      <c r="M11" s="21">
        <v>0</v>
      </c>
      <c r="N11" s="76">
        <f t="shared" si="2"/>
        <v>0</v>
      </c>
      <c r="O11" s="60" t="s">
        <v>66</v>
      </c>
      <c r="P11" s="61"/>
      <c r="Q11" s="62">
        <v>440000</v>
      </c>
      <c r="R11" s="67">
        <f t="shared" si="5"/>
        <v>399999.99999999994</v>
      </c>
      <c r="Y11" s="4"/>
    </row>
    <row r="12" spans="1:25" ht="18.75" customHeight="1" thickTop="1" thickBot="1" x14ac:dyDescent="0.35">
      <c r="A12" s="9">
        <v>9</v>
      </c>
      <c r="B12" s="84" t="s">
        <v>79</v>
      </c>
      <c r="C12" s="6" t="s">
        <v>12</v>
      </c>
      <c r="D12" s="5">
        <v>10</v>
      </c>
      <c r="E12" s="5">
        <v>2</v>
      </c>
      <c r="F12" s="31">
        <f t="shared" si="4"/>
        <v>8</v>
      </c>
      <c r="G12" s="9"/>
      <c r="H12" s="70">
        <v>440000</v>
      </c>
      <c r="I12" s="67">
        <f t="shared" si="3"/>
        <v>399999.99999999994</v>
      </c>
      <c r="J12" s="32">
        <f t="shared" si="0"/>
        <v>39999.999999999993</v>
      </c>
      <c r="K12" s="79">
        <v>0.5</v>
      </c>
      <c r="L12" s="74">
        <f t="shared" ref="L12:L33" si="6">PRODUCT(K12,J12)</f>
        <v>19999.999999999996</v>
      </c>
      <c r="M12" s="21">
        <v>2</v>
      </c>
      <c r="N12" s="76">
        <f t="shared" si="2"/>
        <v>39999.999999999993</v>
      </c>
      <c r="O12" s="60" t="s">
        <v>92</v>
      </c>
      <c r="P12" s="60"/>
      <c r="Q12" s="61">
        <v>880000</v>
      </c>
      <c r="R12" s="67">
        <f t="shared" si="5"/>
        <v>799999.99999999988</v>
      </c>
      <c r="Y12" s="4"/>
    </row>
    <row r="13" spans="1:25" ht="18.75" customHeight="1" thickTop="1" thickBot="1" x14ac:dyDescent="0.35">
      <c r="A13" s="9">
        <v>10</v>
      </c>
      <c r="B13" s="84" t="s">
        <v>80</v>
      </c>
      <c r="C13" s="6" t="s">
        <v>12</v>
      </c>
      <c r="D13" s="5">
        <v>10</v>
      </c>
      <c r="E13" s="5">
        <v>4</v>
      </c>
      <c r="F13" s="31">
        <f t="shared" si="4"/>
        <v>6</v>
      </c>
      <c r="G13" s="9"/>
      <c r="H13" s="70">
        <v>440000</v>
      </c>
      <c r="I13" s="67">
        <f t="shared" si="3"/>
        <v>399999.99999999994</v>
      </c>
      <c r="J13" s="32">
        <f t="shared" si="0"/>
        <v>39999.999999999993</v>
      </c>
      <c r="K13" s="79">
        <v>0.5</v>
      </c>
      <c r="L13" s="74">
        <f t="shared" si="6"/>
        <v>19999.999999999996</v>
      </c>
      <c r="M13" s="21">
        <v>4</v>
      </c>
      <c r="N13" s="76">
        <f t="shared" si="2"/>
        <v>79999.999999999985</v>
      </c>
      <c r="O13" s="60" t="s">
        <v>85</v>
      </c>
      <c r="P13" s="60"/>
      <c r="Q13" s="61">
        <v>880000</v>
      </c>
      <c r="R13" s="67">
        <f t="shared" si="5"/>
        <v>799999.99999999988</v>
      </c>
      <c r="S13" s="26"/>
      <c r="U13" s="27"/>
      <c r="V13" s="27"/>
      <c r="Y13" s="4"/>
    </row>
    <row r="14" spans="1:25" ht="18.75" customHeight="1" thickTop="1" thickBot="1" x14ac:dyDescent="0.35">
      <c r="A14" s="9">
        <v>11</v>
      </c>
      <c r="B14" s="84" t="s">
        <v>81</v>
      </c>
      <c r="C14" s="6" t="s">
        <v>50</v>
      </c>
      <c r="D14" s="5">
        <v>10</v>
      </c>
      <c r="E14" s="5">
        <v>0</v>
      </c>
      <c r="F14" s="31">
        <f t="shared" si="4"/>
        <v>10</v>
      </c>
      <c r="G14" s="9"/>
      <c r="H14" s="70">
        <v>440000</v>
      </c>
      <c r="I14" s="67">
        <f t="shared" si="3"/>
        <v>399999.99999999994</v>
      </c>
      <c r="J14" s="32">
        <f t="shared" si="0"/>
        <v>39999.999999999993</v>
      </c>
      <c r="K14" s="79">
        <v>0.5</v>
      </c>
      <c r="L14" s="74">
        <f t="shared" si="6"/>
        <v>19999.999999999996</v>
      </c>
      <c r="M14" s="21">
        <v>0</v>
      </c>
      <c r="N14" s="76">
        <f t="shared" si="2"/>
        <v>0</v>
      </c>
      <c r="O14" s="60" t="s">
        <v>102</v>
      </c>
      <c r="P14" s="60"/>
      <c r="Q14" s="61">
        <v>220000</v>
      </c>
      <c r="R14" s="67">
        <f t="shared" si="5"/>
        <v>199999.99999999997</v>
      </c>
      <c r="S14" s="26"/>
      <c r="U14" s="27"/>
      <c r="Y14" s="4"/>
    </row>
    <row r="15" spans="1:25" ht="18.75" customHeight="1" thickTop="1" thickBot="1" x14ac:dyDescent="0.35">
      <c r="A15" s="9">
        <v>12</v>
      </c>
      <c r="B15" s="84" t="s">
        <v>82</v>
      </c>
      <c r="C15" s="6" t="s">
        <v>50</v>
      </c>
      <c r="D15" s="5">
        <v>10</v>
      </c>
      <c r="E15" s="5">
        <v>6</v>
      </c>
      <c r="F15" s="31">
        <f t="shared" si="4"/>
        <v>4</v>
      </c>
      <c r="G15" s="9"/>
      <c r="H15" s="70">
        <v>440000</v>
      </c>
      <c r="I15" s="67">
        <f t="shared" si="3"/>
        <v>399999.99999999994</v>
      </c>
      <c r="J15" s="32">
        <f t="shared" si="0"/>
        <v>39999.999999999993</v>
      </c>
      <c r="K15" s="79">
        <v>0.5</v>
      </c>
      <c r="L15" s="74">
        <f t="shared" si="6"/>
        <v>19999.999999999996</v>
      </c>
      <c r="M15" s="21">
        <v>6</v>
      </c>
      <c r="N15" s="76">
        <f t="shared" si="2"/>
        <v>119999.99999999997</v>
      </c>
      <c r="O15" s="60" t="s">
        <v>94</v>
      </c>
      <c r="P15" s="60"/>
      <c r="Q15" s="61">
        <v>440000</v>
      </c>
      <c r="R15" s="67">
        <f t="shared" si="5"/>
        <v>399999.99999999994</v>
      </c>
      <c r="S15" s="26"/>
      <c r="U15" s="27"/>
      <c r="V15" s="27"/>
      <c r="Y15" s="4"/>
    </row>
    <row r="16" spans="1:25" ht="18.75" customHeight="1" thickTop="1" thickBot="1" x14ac:dyDescent="0.35">
      <c r="A16" s="9">
        <v>13</v>
      </c>
      <c r="B16" s="85" t="s">
        <v>83</v>
      </c>
      <c r="C16" s="6" t="s">
        <v>12</v>
      </c>
      <c r="D16" s="5">
        <v>10</v>
      </c>
      <c r="E16" s="5">
        <v>4</v>
      </c>
      <c r="F16" s="31">
        <f t="shared" si="4"/>
        <v>6</v>
      </c>
      <c r="G16" s="9"/>
      <c r="H16" s="70">
        <v>440000</v>
      </c>
      <c r="I16" s="67">
        <f t="shared" si="3"/>
        <v>399999.99999999994</v>
      </c>
      <c r="J16" s="32">
        <f t="shared" si="0"/>
        <v>39999.999999999993</v>
      </c>
      <c r="K16" s="79">
        <v>0.5</v>
      </c>
      <c r="L16" s="74">
        <f t="shared" si="6"/>
        <v>19999.999999999996</v>
      </c>
      <c r="M16" s="21">
        <v>4</v>
      </c>
      <c r="N16" s="76">
        <f t="shared" si="2"/>
        <v>79999.999999999985</v>
      </c>
      <c r="O16" s="60" t="s">
        <v>75</v>
      </c>
      <c r="P16" s="60"/>
      <c r="Q16" s="61">
        <v>440000</v>
      </c>
      <c r="R16" s="67">
        <f t="shared" si="5"/>
        <v>399999.99999999994</v>
      </c>
      <c r="S16" s="26"/>
      <c r="U16" s="27"/>
      <c r="Y16" s="4"/>
    </row>
    <row r="17" spans="1:25" ht="18.75" customHeight="1" thickTop="1" thickBot="1" x14ac:dyDescent="0.35">
      <c r="A17" s="9">
        <v>14</v>
      </c>
      <c r="B17" s="85" t="s">
        <v>84</v>
      </c>
      <c r="C17" s="6" t="s">
        <v>12</v>
      </c>
      <c r="D17" s="5">
        <v>10</v>
      </c>
      <c r="E17" s="5">
        <v>7</v>
      </c>
      <c r="F17" s="31">
        <f t="shared" si="4"/>
        <v>3</v>
      </c>
      <c r="G17" s="9"/>
      <c r="H17" s="70">
        <v>440000</v>
      </c>
      <c r="I17" s="67">
        <f t="shared" si="3"/>
        <v>399999.99999999994</v>
      </c>
      <c r="J17" s="32">
        <f t="shared" si="0"/>
        <v>39999.999999999993</v>
      </c>
      <c r="K17" s="79">
        <v>0.5</v>
      </c>
      <c r="L17" s="74">
        <f t="shared" si="6"/>
        <v>19999.999999999996</v>
      </c>
      <c r="M17" s="21">
        <v>7</v>
      </c>
      <c r="N17" s="76">
        <f t="shared" si="2"/>
        <v>139999.99999999997</v>
      </c>
      <c r="O17" s="60" t="s">
        <v>100</v>
      </c>
      <c r="P17" s="60"/>
      <c r="Q17" s="61">
        <v>440000</v>
      </c>
      <c r="R17" s="67">
        <f t="shared" si="5"/>
        <v>399999.99999999994</v>
      </c>
      <c r="S17" s="26"/>
      <c r="U17" s="27"/>
      <c r="V17" s="27"/>
      <c r="Y17" s="4"/>
    </row>
    <row r="18" spans="1:25" ht="18.75" customHeight="1" thickTop="1" thickBot="1" x14ac:dyDescent="0.35">
      <c r="A18" s="9">
        <v>15</v>
      </c>
      <c r="B18" s="84" t="s">
        <v>92</v>
      </c>
      <c r="C18" s="6" t="s">
        <v>12</v>
      </c>
      <c r="D18" s="5">
        <v>20</v>
      </c>
      <c r="E18" s="5">
        <v>0</v>
      </c>
      <c r="F18" s="31">
        <f t="shared" si="4"/>
        <v>20</v>
      </c>
      <c r="G18" s="9"/>
      <c r="H18" s="70">
        <v>880000</v>
      </c>
      <c r="I18" s="67">
        <f t="shared" si="3"/>
        <v>799999.99999999988</v>
      </c>
      <c r="J18" s="32">
        <f t="shared" si="0"/>
        <v>39999.999999999993</v>
      </c>
      <c r="K18" s="79">
        <v>0.5</v>
      </c>
      <c r="L18" s="74">
        <f t="shared" si="6"/>
        <v>19999.999999999996</v>
      </c>
      <c r="M18" s="21">
        <v>0</v>
      </c>
      <c r="N18" s="76">
        <f t="shared" si="2"/>
        <v>0</v>
      </c>
      <c r="O18" s="60" t="s">
        <v>73</v>
      </c>
      <c r="P18" s="60"/>
      <c r="Q18" s="61">
        <v>880000</v>
      </c>
      <c r="R18" s="67">
        <f t="shared" si="5"/>
        <v>799999.99999999988</v>
      </c>
      <c r="S18" s="26"/>
      <c r="U18" s="27"/>
      <c r="V18" s="27"/>
      <c r="Y18" s="4"/>
    </row>
    <row r="19" spans="1:25" ht="18.75" customHeight="1" thickTop="1" thickBot="1" x14ac:dyDescent="0.35">
      <c r="A19" s="9">
        <v>16</v>
      </c>
      <c r="B19" s="84" t="s">
        <v>86</v>
      </c>
      <c r="C19" s="6" t="s">
        <v>12</v>
      </c>
      <c r="D19" s="5">
        <v>10</v>
      </c>
      <c r="E19" s="5">
        <v>4</v>
      </c>
      <c r="F19" s="31">
        <f t="shared" si="4"/>
        <v>6</v>
      </c>
      <c r="G19" s="9"/>
      <c r="H19" s="70">
        <v>440000</v>
      </c>
      <c r="I19" s="67">
        <f t="shared" si="3"/>
        <v>399999.99999999994</v>
      </c>
      <c r="J19" s="32">
        <f t="shared" si="0"/>
        <v>39999.999999999993</v>
      </c>
      <c r="K19" s="79">
        <v>0.5</v>
      </c>
      <c r="L19" s="74">
        <f t="shared" si="6"/>
        <v>19999.999999999996</v>
      </c>
      <c r="M19" s="21">
        <v>4</v>
      </c>
      <c r="N19" s="76">
        <f t="shared" si="2"/>
        <v>79999.999999999985</v>
      </c>
      <c r="O19" s="60" t="s">
        <v>75</v>
      </c>
      <c r="P19" s="61"/>
      <c r="Q19" s="61">
        <v>440000</v>
      </c>
      <c r="R19" s="67">
        <f t="shared" si="5"/>
        <v>399999.99999999994</v>
      </c>
      <c r="S19" s="26"/>
      <c r="U19" s="27"/>
      <c r="Y19" s="4"/>
    </row>
    <row r="20" spans="1:25" ht="18.75" customHeight="1" thickTop="1" thickBot="1" x14ac:dyDescent="0.35">
      <c r="A20" s="9">
        <v>17</v>
      </c>
      <c r="B20" s="84" t="s">
        <v>87</v>
      </c>
      <c r="C20" s="6" t="s">
        <v>50</v>
      </c>
      <c r="D20" s="5">
        <v>20</v>
      </c>
      <c r="E20" s="5">
        <v>7</v>
      </c>
      <c r="F20" s="31">
        <f t="shared" si="4"/>
        <v>13</v>
      </c>
      <c r="G20" s="9"/>
      <c r="H20" s="70">
        <v>880000</v>
      </c>
      <c r="I20" s="67">
        <f t="shared" si="3"/>
        <v>799999.99999999988</v>
      </c>
      <c r="J20" s="32">
        <f t="shared" si="0"/>
        <v>39999.999999999993</v>
      </c>
      <c r="K20" s="79">
        <v>0.5</v>
      </c>
      <c r="L20" s="74">
        <f t="shared" si="6"/>
        <v>19999.999999999996</v>
      </c>
      <c r="M20" s="21">
        <v>7</v>
      </c>
      <c r="N20" s="76">
        <f t="shared" si="2"/>
        <v>139999.99999999997</v>
      </c>
      <c r="O20" s="60"/>
      <c r="P20" s="61"/>
      <c r="Q20" s="61"/>
      <c r="R20" s="67">
        <f t="shared" si="5"/>
        <v>0</v>
      </c>
      <c r="S20" s="26"/>
      <c r="U20" s="27"/>
      <c r="V20" s="27"/>
      <c r="Y20" s="4"/>
    </row>
    <row r="21" spans="1:25" ht="18.75" customHeight="1" thickTop="1" thickBot="1" x14ac:dyDescent="0.35">
      <c r="A21" s="9">
        <v>18</v>
      </c>
      <c r="B21" s="84" t="s">
        <v>88</v>
      </c>
      <c r="C21" s="6" t="s">
        <v>50</v>
      </c>
      <c r="D21" s="5">
        <v>10</v>
      </c>
      <c r="E21" s="5">
        <v>4</v>
      </c>
      <c r="F21" s="31">
        <f t="shared" si="4"/>
        <v>6</v>
      </c>
      <c r="G21" s="9"/>
      <c r="H21" s="70">
        <v>440000</v>
      </c>
      <c r="I21" s="67">
        <f t="shared" si="3"/>
        <v>399999.99999999994</v>
      </c>
      <c r="J21" s="32">
        <f t="shared" si="0"/>
        <v>39999.999999999993</v>
      </c>
      <c r="K21" s="79">
        <v>0.5</v>
      </c>
      <c r="L21" s="74">
        <f t="shared" si="6"/>
        <v>19999.999999999996</v>
      </c>
      <c r="M21" s="21">
        <v>0</v>
      </c>
      <c r="N21" s="76">
        <f t="shared" si="2"/>
        <v>0</v>
      </c>
      <c r="O21" s="60"/>
      <c r="P21" s="61"/>
      <c r="Q21" s="61"/>
      <c r="R21" s="67">
        <f t="shared" si="5"/>
        <v>0</v>
      </c>
      <c r="S21" s="26"/>
      <c r="U21" s="27"/>
      <c r="V21" s="27"/>
      <c r="Y21" s="4"/>
    </row>
    <row r="22" spans="1:25" ht="18.75" customHeight="1" thickTop="1" thickBot="1" x14ac:dyDescent="0.35">
      <c r="A22" s="9">
        <v>19</v>
      </c>
      <c r="B22" s="84" t="s">
        <v>89</v>
      </c>
      <c r="C22" s="6" t="s">
        <v>12</v>
      </c>
      <c r="D22" s="5">
        <v>10</v>
      </c>
      <c r="E22" s="5">
        <v>0</v>
      </c>
      <c r="F22" s="31">
        <f t="shared" si="4"/>
        <v>10</v>
      </c>
      <c r="G22" s="9"/>
      <c r="H22" s="70">
        <v>440000</v>
      </c>
      <c r="I22" s="67">
        <f t="shared" si="3"/>
        <v>399999.99999999994</v>
      </c>
      <c r="J22" s="32">
        <f t="shared" si="0"/>
        <v>39999.999999999993</v>
      </c>
      <c r="K22" s="79">
        <v>0.5</v>
      </c>
      <c r="L22" s="74">
        <f t="shared" si="6"/>
        <v>19999.999999999996</v>
      </c>
      <c r="M22" s="21">
        <v>3</v>
      </c>
      <c r="N22" s="76">
        <f t="shared" si="2"/>
        <v>59999.999999999985</v>
      </c>
      <c r="O22" s="60"/>
      <c r="P22" s="61"/>
      <c r="Q22" s="61"/>
      <c r="R22" s="67">
        <f t="shared" si="5"/>
        <v>0</v>
      </c>
      <c r="S22" s="26"/>
      <c r="T22" s="28"/>
      <c r="U22" s="27"/>
      <c r="V22" s="27"/>
      <c r="Y22" s="4"/>
    </row>
    <row r="23" spans="1:25" ht="18.75" customHeight="1" thickTop="1" thickBot="1" x14ac:dyDescent="0.35">
      <c r="A23" s="9">
        <v>20</v>
      </c>
      <c r="B23" s="84" t="s">
        <v>77</v>
      </c>
      <c r="C23" s="6" t="s">
        <v>12</v>
      </c>
      <c r="D23" s="5">
        <v>10</v>
      </c>
      <c r="E23" s="5">
        <v>3</v>
      </c>
      <c r="F23" s="31">
        <f t="shared" si="4"/>
        <v>7</v>
      </c>
      <c r="G23" s="9"/>
      <c r="H23" s="70">
        <v>440000</v>
      </c>
      <c r="I23" s="67">
        <f t="shared" si="3"/>
        <v>399999.99999999994</v>
      </c>
      <c r="J23" s="32">
        <f t="shared" si="0"/>
        <v>39999.999999999993</v>
      </c>
      <c r="K23" s="79">
        <v>0.5</v>
      </c>
      <c r="L23" s="74">
        <f t="shared" si="6"/>
        <v>19999.999999999996</v>
      </c>
      <c r="M23" s="21">
        <v>0</v>
      </c>
      <c r="N23" s="76">
        <f t="shared" si="2"/>
        <v>0</v>
      </c>
      <c r="O23" s="63"/>
      <c r="P23" s="64"/>
      <c r="Q23" s="43"/>
      <c r="R23" s="67">
        <f t="shared" si="5"/>
        <v>0</v>
      </c>
      <c r="S23" s="26"/>
      <c r="T23" s="29"/>
      <c r="U23" s="27"/>
    </row>
    <row r="24" spans="1:25" ht="18.75" customHeight="1" thickTop="1" thickBot="1" x14ac:dyDescent="0.35">
      <c r="A24" s="9">
        <v>21</v>
      </c>
      <c r="B24" s="84" t="s">
        <v>90</v>
      </c>
      <c r="C24" s="6" t="s">
        <v>12</v>
      </c>
      <c r="D24" s="5">
        <v>10</v>
      </c>
      <c r="E24" s="5">
        <v>0</v>
      </c>
      <c r="F24" s="31">
        <f t="shared" si="4"/>
        <v>10</v>
      </c>
      <c r="G24" s="9"/>
      <c r="H24" s="70">
        <v>440000</v>
      </c>
      <c r="I24" s="67">
        <f t="shared" si="3"/>
        <v>399999.99999999994</v>
      </c>
      <c r="J24" s="32">
        <f t="shared" si="0"/>
        <v>39999.999999999993</v>
      </c>
      <c r="K24" s="79">
        <v>0.5</v>
      </c>
      <c r="L24" s="74">
        <f t="shared" si="6"/>
        <v>19999.999999999996</v>
      </c>
      <c r="M24" s="21">
        <v>0</v>
      </c>
      <c r="N24" s="76">
        <f t="shared" si="2"/>
        <v>0</v>
      </c>
      <c r="O24" s="65"/>
      <c r="P24" s="65"/>
      <c r="Q24" s="43"/>
      <c r="R24" s="67">
        <f t="shared" si="5"/>
        <v>0</v>
      </c>
      <c r="S24" s="26"/>
      <c r="T24" s="30"/>
      <c r="U24" s="27"/>
    </row>
    <row r="25" spans="1:25" ht="18.75" customHeight="1" thickTop="1" thickBot="1" x14ac:dyDescent="0.35">
      <c r="A25" s="9">
        <v>22</v>
      </c>
      <c r="B25" s="84" t="s">
        <v>93</v>
      </c>
      <c r="C25" s="6" t="s">
        <v>50</v>
      </c>
      <c r="D25" s="5">
        <v>10</v>
      </c>
      <c r="E25" s="5">
        <v>0</v>
      </c>
      <c r="F25" s="31">
        <f t="shared" si="4"/>
        <v>10</v>
      </c>
      <c r="G25" s="9"/>
      <c r="H25" s="70">
        <v>440000</v>
      </c>
      <c r="I25" s="67">
        <f t="shared" si="3"/>
        <v>399999.99999999994</v>
      </c>
      <c r="J25" s="32">
        <f t="shared" si="0"/>
        <v>39999.999999999993</v>
      </c>
      <c r="K25" s="79">
        <v>0.5</v>
      </c>
      <c r="L25" s="74">
        <f t="shared" si="6"/>
        <v>19999.999999999996</v>
      </c>
      <c r="M25" s="21">
        <v>0</v>
      </c>
      <c r="N25" s="76">
        <f t="shared" si="2"/>
        <v>0</v>
      </c>
      <c r="O25" s="65"/>
      <c r="P25" s="65"/>
      <c r="Q25" s="43"/>
      <c r="R25" s="67">
        <f t="shared" si="5"/>
        <v>0</v>
      </c>
      <c r="S25" s="26"/>
      <c r="T25" s="29"/>
      <c r="U25" s="27"/>
    </row>
    <row r="26" spans="1:25" ht="18.75" customHeight="1" thickTop="1" thickBot="1" x14ac:dyDescent="0.35">
      <c r="A26" s="9">
        <v>23</v>
      </c>
      <c r="B26" s="84" t="s">
        <v>70</v>
      </c>
      <c r="C26" s="6" t="s">
        <v>12</v>
      </c>
      <c r="D26" s="5">
        <v>5</v>
      </c>
      <c r="E26" s="6">
        <v>0</v>
      </c>
      <c r="F26" s="31">
        <f t="shared" si="4"/>
        <v>5</v>
      </c>
      <c r="G26" s="9"/>
      <c r="H26" s="70">
        <v>220000</v>
      </c>
      <c r="I26" s="67">
        <f t="shared" si="3"/>
        <v>199999.99999999997</v>
      </c>
      <c r="J26" s="32">
        <f t="shared" si="0"/>
        <v>39999.999999999993</v>
      </c>
      <c r="K26" s="79">
        <v>0.5</v>
      </c>
      <c r="L26" s="74">
        <f t="shared" si="6"/>
        <v>19999.999999999996</v>
      </c>
      <c r="M26" s="13">
        <v>2</v>
      </c>
      <c r="N26" s="76">
        <f t="shared" si="2"/>
        <v>39999.999999999993</v>
      </c>
      <c r="O26" s="65"/>
      <c r="P26" s="65"/>
      <c r="Q26" s="43"/>
      <c r="R26" s="67">
        <f t="shared" si="5"/>
        <v>0</v>
      </c>
      <c r="S26" s="26"/>
      <c r="U26" s="27"/>
    </row>
    <row r="27" spans="1:25" ht="18.75" customHeight="1" thickTop="1" thickBot="1" x14ac:dyDescent="0.35">
      <c r="A27" s="9">
        <v>24</v>
      </c>
      <c r="B27" s="84" t="s">
        <v>91</v>
      </c>
      <c r="C27" s="6" t="s">
        <v>12</v>
      </c>
      <c r="D27" s="6">
        <v>5</v>
      </c>
      <c r="E27" s="6">
        <v>2</v>
      </c>
      <c r="F27" s="31">
        <f t="shared" si="4"/>
        <v>3</v>
      </c>
      <c r="G27" s="9"/>
      <c r="H27" s="70">
        <v>220000</v>
      </c>
      <c r="I27" s="67">
        <f t="shared" si="3"/>
        <v>199999.99999999997</v>
      </c>
      <c r="J27" s="32">
        <f t="shared" si="0"/>
        <v>39999.999999999993</v>
      </c>
      <c r="K27" s="79">
        <v>0.5</v>
      </c>
      <c r="L27" s="74">
        <f t="shared" si="6"/>
        <v>19999.999999999996</v>
      </c>
      <c r="M27" s="13">
        <v>0</v>
      </c>
      <c r="N27" s="76">
        <f t="shared" si="2"/>
        <v>0</v>
      </c>
      <c r="O27" s="65"/>
      <c r="P27" s="65"/>
      <c r="Q27" s="43"/>
      <c r="R27" s="67">
        <f t="shared" si="5"/>
        <v>0</v>
      </c>
      <c r="S27" s="26"/>
      <c r="U27" s="27"/>
    </row>
    <row r="28" spans="1:25" ht="18.75" customHeight="1" thickTop="1" thickBot="1" x14ac:dyDescent="0.35">
      <c r="A28" s="9">
        <v>25</v>
      </c>
      <c r="B28" s="84" t="s">
        <v>94</v>
      </c>
      <c r="C28" s="6" t="s">
        <v>12</v>
      </c>
      <c r="D28" s="11">
        <v>10</v>
      </c>
      <c r="E28" s="11">
        <v>0</v>
      </c>
      <c r="F28" s="31">
        <f t="shared" si="4"/>
        <v>10</v>
      </c>
      <c r="G28" s="9"/>
      <c r="H28" s="70">
        <v>440000</v>
      </c>
      <c r="I28" s="67">
        <f t="shared" si="3"/>
        <v>399999.99999999994</v>
      </c>
      <c r="J28" s="32">
        <f t="shared" si="0"/>
        <v>39999.999999999993</v>
      </c>
      <c r="K28" s="79">
        <v>0.5</v>
      </c>
      <c r="L28" s="74">
        <f t="shared" si="6"/>
        <v>19999.999999999996</v>
      </c>
      <c r="M28" s="13"/>
      <c r="N28" s="76">
        <f t="shared" si="2"/>
        <v>19999.999999999996</v>
      </c>
      <c r="O28" s="97" t="s">
        <v>18</v>
      </c>
      <c r="P28" s="97"/>
      <c r="Q28" s="97"/>
      <c r="R28" s="68">
        <f>SUM(Q5:Q27)</f>
        <v>7480000</v>
      </c>
      <c r="S28" s="26"/>
      <c r="U28" s="27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1">
        <f t="shared" si="4"/>
        <v>0</v>
      </c>
      <c r="G29" s="9"/>
      <c r="H29" s="70"/>
      <c r="I29" s="67">
        <f t="shared" si="3"/>
        <v>0</v>
      </c>
      <c r="J29" s="32" t="e">
        <f t="shared" si="0"/>
        <v>#DIV/0!</v>
      </c>
      <c r="K29" s="79">
        <v>0.5</v>
      </c>
      <c r="L29" s="74" t="e">
        <f t="shared" si="6"/>
        <v>#DIV/0!</v>
      </c>
      <c r="M29" s="13"/>
      <c r="N29" s="76" t="e">
        <f t="shared" si="2"/>
        <v>#DIV/0!</v>
      </c>
      <c r="O29" s="97" t="s">
        <v>16</v>
      </c>
      <c r="P29" s="97"/>
      <c r="Q29" s="97"/>
      <c r="R29" s="66"/>
      <c r="S29" s="26"/>
      <c r="U29" s="27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1">
        <f t="shared" si="4"/>
        <v>0</v>
      </c>
      <c r="G30" s="9"/>
      <c r="H30" s="70"/>
      <c r="I30" s="67">
        <f t="shared" si="3"/>
        <v>0</v>
      </c>
      <c r="J30" s="32" t="e">
        <f t="shared" si="0"/>
        <v>#DIV/0!</v>
      </c>
      <c r="K30" s="79">
        <v>0.5</v>
      </c>
      <c r="L30" s="74" t="e">
        <f t="shared" si="6"/>
        <v>#DIV/0!</v>
      </c>
      <c r="M30" s="21"/>
      <c r="N30" s="76" t="e">
        <f t="shared" si="2"/>
        <v>#DIV/0!</v>
      </c>
      <c r="O30" s="97" t="s">
        <v>17</v>
      </c>
      <c r="P30" s="97"/>
      <c r="Q30" s="97"/>
      <c r="R30" s="66">
        <f>R29+R28</f>
        <v>7480000</v>
      </c>
      <c r="S30" s="26"/>
      <c r="U30" s="27"/>
    </row>
    <row r="31" spans="1:25" ht="18.75" customHeight="1" thickTop="1" thickBot="1" x14ac:dyDescent="0.35">
      <c r="A31" s="9">
        <v>28</v>
      </c>
      <c r="B31" s="22"/>
      <c r="C31" s="5"/>
      <c r="D31" s="5"/>
      <c r="E31" s="5"/>
      <c r="F31" s="31">
        <f t="shared" si="4"/>
        <v>0</v>
      </c>
      <c r="G31" s="9"/>
      <c r="H31" s="70"/>
      <c r="I31" s="67">
        <f t="shared" si="3"/>
        <v>0</v>
      </c>
      <c r="J31" s="32" t="e">
        <f t="shared" si="0"/>
        <v>#DIV/0!</v>
      </c>
      <c r="K31" s="79">
        <v>0.5</v>
      </c>
      <c r="L31" s="74" t="e">
        <f t="shared" si="6"/>
        <v>#DIV/0!</v>
      </c>
      <c r="M31" s="9"/>
      <c r="N31" s="76" t="e">
        <f t="shared" si="2"/>
        <v>#DIV/0!</v>
      </c>
      <c r="O31" s="88" t="s">
        <v>24</v>
      </c>
      <c r="P31" s="88"/>
      <c r="Q31" s="88"/>
      <c r="R31" s="93"/>
      <c r="S31" s="26"/>
      <c r="T31" s="10"/>
      <c r="U31" s="91"/>
      <c r="V31" s="91"/>
      <c r="W31" s="91"/>
      <c r="X31" s="10"/>
    </row>
    <row r="32" spans="1:25" ht="18.75" customHeight="1" thickTop="1" thickBot="1" x14ac:dyDescent="0.35">
      <c r="A32" s="9">
        <v>29</v>
      </c>
      <c r="B32" s="23"/>
      <c r="C32" s="5"/>
      <c r="D32" s="24"/>
      <c r="E32" s="24"/>
      <c r="F32" s="31">
        <f t="shared" si="4"/>
        <v>0</v>
      </c>
      <c r="G32" s="9"/>
      <c r="H32" s="70"/>
      <c r="I32" s="67">
        <f t="shared" si="3"/>
        <v>0</v>
      </c>
      <c r="J32" s="32" t="e">
        <f t="shared" si="0"/>
        <v>#DIV/0!</v>
      </c>
      <c r="K32" s="79">
        <v>0.5</v>
      </c>
      <c r="L32" s="74" t="e">
        <f t="shared" si="6"/>
        <v>#DIV/0!</v>
      </c>
      <c r="M32" s="25"/>
      <c r="N32" s="76" t="e">
        <f t="shared" si="2"/>
        <v>#DIV/0!</v>
      </c>
      <c r="O32" s="88"/>
      <c r="P32" s="88"/>
      <c r="Q32" s="88"/>
      <c r="R32" s="93"/>
      <c r="S32" s="26"/>
      <c r="T32" s="10"/>
      <c r="U32" s="91"/>
      <c r="V32" s="91"/>
      <c r="W32" s="91"/>
      <c r="X32" s="10"/>
    </row>
    <row r="33" spans="1:26" ht="18.75" customHeight="1" thickTop="1" thickBot="1" x14ac:dyDescent="0.35">
      <c r="A33" s="9">
        <v>30</v>
      </c>
      <c r="B33" s="23"/>
      <c r="C33" s="5"/>
      <c r="D33" s="5"/>
      <c r="E33" s="5"/>
      <c r="F33" s="31">
        <f t="shared" si="4"/>
        <v>0</v>
      </c>
      <c r="G33" s="9"/>
      <c r="H33" s="70"/>
      <c r="I33" s="67">
        <f t="shared" si="3"/>
        <v>0</v>
      </c>
      <c r="J33" s="32" t="e">
        <f t="shared" si="0"/>
        <v>#DIV/0!</v>
      </c>
      <c r="K33" s="79">
        <v>0.5</v>
      </c>
      <c r="L33" s="74" t="e">
        <f t="shared" si="6"/>
        <v>#DIV/0!</v>
      </c>
      <c r="M33" s="25"/>
      <c r="N33" s="76" t="e">
        <f t="shared" si="2"/>
        <v>#DIV/0!</v>
      </c>
      <c r="O33" s="88" t="s">
        <v>25</v>
      </c>
      <c r="P33" s="88"/>
      <c r="Q33" s="88"/>
      <c r="R33" s="92">
        <f>SUMIF(N4:N45,"&gt;0",N4:N45)</f>
        <v>1540000</v>
      </c>
      <c r="S33" s="26"/>
      <c r="T33" s="10"/>
      <c r="U33" s="91"/>
      <c r="V33" s="91"/>
      <c r="W33" s="91"/>
      <c r="X33" s="10"/>
    </row>
    <row r="34" spans="1:26" ht="18.75" customHeight="1" thickTop="1" thickBot="1" x14ac:dyDescent="0.35">
      <c r="A34" s="9">
        <v>31</v>
      </c>
      <c r="B34" s="22"/>
      <c r="C34" s="5"/>
      <c r="D34" s="5"/>
      <c r="E34" s="5"/>
      <c r="F34" s="31">
        <f t="shared" si="4"/>
        <v>0</v>
      </c>
      <c r="G34" s="9"/>
      <c r="H34" s="70"/>
      <c r="I34" s="67">
        <f t="shared" si="3"/>
        <v>0</v>
      </c>
      <c r="J34" s="32" t="e">
        <f t="shared" si="0"/>
        <v>#DIV/0!</v>
      </c>
      <c r="K34" s="79">
        <v>0.5</v>
      </c>
      <c r="L34" s="74" t="e">
        <f t="shared" ref="L34:L43" si="7">PRODUCT(K34,J34)</f>
        <v>#DIV/0!</v>
      </c>
      <c r="M34" s="25"/>
      <c r="N34" s="76" t="e">
        <f t="shared" ref="N34:N43" si="8">PRODUCT(M34,L34)</f>
        <v>#DIV/0!</v>
      </c>
      <c r="O34" s="88"/>
      <c r="P34" s="88"/>
      <c r="Q34" s="88"/>
      <c r="R34" s="92"/>
      <c r="S34" s="26"/>
      <c r="T34" s="10"/>
      <c r="U34" s="91"/>
      <c r="V34" s="91"/>
      <c r="W34" s="91"/>
      <c r="X34" s="10"/>
      <c r="Y34"/>
      <c r="Z34"/>
    </row>
    <row r="35" spans="1:26" ht="18.75" customHeight="1" thickTop="1" thickBot="1" x14ac:dyDescent="0.35">
      <c r="A35" s="9">
        <v>32</v>
      </c>
      <c r="B35" s="22"/>
      <c r="C35" s="5"/>
      <c r="D35" s="24"/>
      <c r="E35" s="24"/>
      <c r="F35" s="31">
        <f t="shared" si="4"/>
        <v>0</v>
      </c>
      <c r="G35" s="9"/>
      <c r="H35" s="71"/>
      <c r="I35" s="67">
        <f t="shared" si="3"/>
        <v>0</v>
      </c>
      <c r="J35" s="32" t="e">
        <f t="shared" si="0"/>
        <v>#DIV/0!</v>
      </c>
      <c r="K35" s="79">
        <v>0.5</v>
      </c>
      <c r="L35" s="74" t="e">
        <f t="shared" si="7"/>
        <v>#DIV/0!</v>
      </c>
      <c r="M35" s="25"/>
      <c r="N35" s="76" t="e">
        <f t="shared" si="8"/>
        <v>#DIV/0!</v>
      </c>
      <c r="O35" s="88" t="s">
        <v>23</v>
      </c>
      <c r="P35" s="88"/>
      <c r="Q35" s="88"/>
      <c r="R35" s="89">
        <f>R31+R33</f>
        <v>1540000</v>
      </c>
      <c r="X35"/>
    </row>
    <row r="36" spans="1:26" ht="18.75" customHeight="1" thickTop="1" thickBot="1" x14ac:dyDescent="0.35">
      <c r="A36" s="9">
        <v>33</v>
      </c>
      <c r="B36" s="22"/>
      <c r="C36" s="5"/>
      <c r="D36" s="5"/>
      <c r="E36" s="5"/>
      <c r="F36" s="31">
        <f t="shared" si="4"/>
        <v>0</v>
      </c>
      <c r="G36" s="9"/>
      <c r="H36" s="70"/>
      <c r="I36" s="67">
        <f t="shared" si="3"/>
        <v>0</v>
      </c>
      <c r="J36" s="32" t="e">
        <f t="shared" si="0"/>
        <v>#DIV/0!</v>
      </c>
      <c r="K36" s="79">
        <v>0.5</v>
      </c>
      <c r="L36" s="74" t="e">
        <f t="shared" si="7"/>
        <v>#DIV/0!</v>
      </c>
      <c r="M36" s="25"/>
      <c r="N36" s="76" t="e">
        <f t="shared" si="8"/>
        <v>#DIV/0!</v>
      </c>
      <c r="O36" s="88"/>
      <c r="P36" s="88"/>
      <c r="Q36" s="88"/>
      <c r="R36" s="89"/>
      <c r="X36"/>
      <c r="Y36"/>
      <c r="Z36"/>
    </row>
    <row r="37" spans="1:26" ht="18.75" customHeight="1" thickTop="1" thickBot="1" x14ac:dyDescent="0.35">
      <c r="A37" s="9">
        <v>34</v>
      </c>
      <c r="B37" s="20"/>
      <c r="C37" s="5"/>
      <c r="D37" s="24"/>
      <c r="E37" s="24"/>
      <c r="F37" s="31">
        <f t="shared" si="4"/>
        <v>0</v>
      </c>
      <c r="G37" s="9"/>
      <c r="H37" s="71"/>
      <c r="I37" s="67">
        <f t="shared" si="3"/>
        <v>0</v>
      </c>
      <c r="J37" s="32" t="e">
        <f t="shared" si="0"/>
        <v>#DIV/0!</v>
      </c>
      <c r="K37" s="79">
        <v>0.5</v>
      </c>
      <c r="L37" s="74" t="e">
        <f t="shared" si="7"/>
        <v>#DIV/0!</v>
      </c>
      <c r="M37" s="25"/>
      <c r="N37" s="76" t="e">
        <f t="shared" si="8"/>
        <v>#DIV/0!</v>
      </c>
      <c r="O37" s="90" t="s">
        <v>40</v>
      </c>
      <c r="P37" s="90"/>
      <c r="Q37" s="90"/>
      <c r="R37" s="90"/>
      <c r="S37"/>
      <c r="X37"/>
      <c r="Y37"/>
      <c r="Z37"/>
    </row>
    <row r="38" spans="1:26" ht="18.75" customHeight="1" thickTop="1" thickBot="1" x14ac:dyDescent="0.35">
      <c r="A38" s="9">
        <v>35</v>
      </c>
      <c r="B38" s="20"/>
      <c r="C38" s="8"/>
      <c r="D38" s="8"/>
      <c r="E38" s="8"/>
      <c r="F38" s="31">
        <f t="shared" si="4"/>
        <v>0</v>
      </c>
      <c r="G38" s="9"/>
      <c r="H38" s="71"/>
      <c r="I38" s="67">
        <f t="shared" si="3"/>
        <v>0</v>
      </c>
      <c r="J38" s="32" t="e">
        <f t="shared" si="0"/>
        <v>#DIV/0!</v>
      </c>
      <c r="K38" s="79">
        <v>0.5</v>
      </c>
      <c r="L38" s="74" t="e">
        <f t="shared" si="7"/>
        <v>#DIV/0!</v>
      </c>
      <c r="M38" s="25"/>
      <c r="N38" s="76" t="e">
        <f t="shared" si="8"/>
        <v>#DIV/0!</v>
      </c>
      <c r="O38" s="90" t="s">
        <v>39</v>
      </c>
      <c r="P38" s="90"/>
      <c r="Q38" s="90"/>
      <c r="R38" s="90"/>
      <c r="S38"/>
      <c r="X38"/>
      <c r="Y38"/>
      <c r="Z38"/>
    </row>
    <row r="39" spans="1:26" ht="18.75" customHeight="1" thickTop="1" thickBot="1" x14ac:dyDescent="0.35">
      <c r="A39" s="9">
        <v>36</v>
      </c>
      <c r="B39" s="20"/>
      <c r="C39" s="8"/>
      <c r="D39" s="8"/>
      <c r="E39" s="8"/>
      <c r="F39" s="31">
        <f t="shared" si="4"/>
        <v>0</v>
      </c>
      <c r="G39" s="9"/>
      <c r="H39" s="72"/>
      <c r="I39" s="67">
        <f t="shared" si="3"/>
        <v>0</v>
      </c>
      <c r="J39" s="32" t="e">
        <f t="shared" si="0"/>
        <v>#DIV/0!</v>
      </c>
      <c r="K39" s="79">
        <v>0.5</v>
      </c>
      <c r="L39" s="74" t="e">
        <f t="shared" si="7"/>
        <v>#DIV/0!</v>
      </c>
      <c r="M39" s="25"/>
      <c r="N39" s="76" t="e">
        <f t="shared" si="8"/>
        <v>#DIV/0!</v>
      </c>
      <c r="O39" s="90" t="s">
        <v>19</v>
      </c>
      <c r="P39" s="90"/>
      <c r="Q39" s="90"/>
      <c r="R39" s="90"/>
      <c r="S39"/>
      <c r="X39"/>
      <c r="Y39"/>
      <c r="Z39"/>
    </row>
    <row r="40" spans="1:26" ht="18.75" customHeight="1" thickTop="1" thickBot="1" x14ac:dyDescent="0.35">
      <c r="A40" s="9">
        <v>37</v>
      </c>
      <c r="B40" s="20"/>
      <c r="C40" s="8"/>
      <c r="D40" s="8"/>
      <c r="E40" s="8"/>
      <c r="F40" s="31">
        <f t="shared" si="4"/>
        <v>0</v>
      </c>
      <c r="G40" s="9"/>
      <c r="H40" s="72"/>
      <c r="I40" s="67">
        <f t="shared" si="3"/>
        <v>0</v>
      </c>
      <c r="J40" s="32" t="e">
        <f t="shared" si="0"/>
        <v>#DIV/0!</v>
      </c>
      <c r="K40" s="79">
        <v>0.5</v>
      </c>
      <c r="L40" s="74" t="e">
        <f t="shared" si="7"/>
        <v>#DIV/0!</v>
      </c>
      <c r="M40" s="25"/>
      <c r="N40" s="76" t="e">
        <f t="shared" si="8"/>
        <v>#DIV/0!</v>
      </c>
      <c r="O40" s="90" t="s">
        <v>41</v>
      </c>
      <c r="P40" s="90"/>
      <c r="Q40" s="90"/>
      <c r="R40" s="90"/>
      <c r="S40"/>
      <c r="X40"/>
      <c r="Y40"/>
      <c r="Z40"/>
    </row>
    <row r="41" spans="1:26" ht="18.75" customHeight="1" thickTop="1" thickBot="1" x14ac:dyDescent="0.35">
      <c r="A41" s="9">
        <v>38</v>
      </c>
      <c r="B41" s="20"/>
      <c r="C41" s="3"/>
      <c r="D41" s="8"/>
      <c r="E41" s="8"/>
      <c r="F41" s="31">
        <f t="shared" si="4"/>
        <v>0</v>
      </c>
      <c r="G41" s="9"/>
      <c r="H41" s="72"/>
      <c r="I41" s="67">
        <f t="shared" si="3"/>
        <v>0</v>
      </c>
      <c r="J41" s="32" t="e">
        <f t="shared" si="0"/>
        <v>#DIV/0!</v>
      </c>
      <c r="K41" s="79">
        <v>0.5</v>
      </c>
      <c r="L41" s="74" t="e">
        <f t="shared" si="7"/>
        <v>#DIV/0!</v>
      </c>
      <c r="M41" s="25"/>
      <c r="N41" s="76" t="e">
        <f t="shared" si="8"/>
        <v>#DIV/0!</v>
      </c>
      <c r="O41" s="90" t="s">
        <v>42</v>
      </c>
      <c r="P41" s="90"/>
      <c r="Q41" s="90"/>
      <c r="R41" s="90"/>
      <c r="S41"/>
      <c r="X41"/>
      <c r="Y41"/>
      <c r="Z41"/>
    </row>
    <row r="42" spans="1:26" ht="18.75" customHeight="1" thickTop="1" thickBot="1" x14ac:dyDescent="0.35">
      <c r="A42" s="9">
        <v>39</v>
      </c>
      <c r="B42" s="20"/>
      <c r="C42" s="8"/>
      <c r="D42" s="8"/>
      <c r="E42" s="8"/>
      <c r="F42" s="31">
        <f t="shared" si="4"/>
        <v>0</v>
      </c>
      <c r="G42" s="9"/>
      <c r="H42" s="72"/>
      <c r="I42" s="67">
        <f t="shared" si="3"/>
        <v>0</v>
      </c>
      <c r="J42" s="32" t="e">
        <f t="shared" si="0"/>
        <v>#DIV/0!</v>
      </c>
      <c r="K42" s="79">
        <v>0.5</v>
      </c>
      <c r="L42" s="74" t="e">
        <f t="shared" si="7"/>
        <v>#DIV/0!</v>
      </c>
      <c r="M42" s="25"/>
      <c r="N42" s="76" t="e">
        <f t="shared" si="8"/>
        <v>#DIV/0!</v>
      </c>
      <c r="O42" s="90" t="s">
        <v>43</v>
      </c>
      <c r="P42" s="90"/>
      <c r="Q42" s="90"/>
      <c r="R42" s="90"/>
      <c r="S42"/>
      <c r="X42"/>
      <c r="Y42"/>
      <c r="Z42"/>
    </row>
    <row r="43" spans="1:26" ht="18.75" customHeight="1" thickTop="1" thickBot="1" x14ac:dyDescent="0.35">
      <c r="A43" s="9">
        <v>40</v>
      </c>
      <c r="B43" s="20"/>
      <c r="C43" s="8"/>
      <c r="D43" s="8"/>
      <c r="E43" s="8"/>
      <c r="F43" s="31">
        <f t="shared" si="4"/>
        <v>0</v>
      </c>
      <c r="G43" s="9"/>
      <c r="H43" s="72"/>
      <c r="I43" s="67">
        <f t="shared" si="3"/>
        <v>0</v>
      </c>
      <c r="J43" s="32" t="e">
        <f t="shared" si="0"/>
        <v>#DIV/0!</v>
      </c>
      <c r="K43" s="79">
        <v>0.5</v>
      </c>
      <c r="L43" s="74" t="e">
        <f t="shared" si="7"/>
        <v>#DIV/0!</v>
      </c>
      <c r="M43" s="25"/>
      <c r="N43" s="76" t="e">
        <f t="shared" si="8"/>
        <v>#DIV/0!</v>
      </c>
      <c r="O43" s="90" t="s">
        <v>44</v>
      </c>
      <c r="P43" s="90"/>
      <c r="Q43" s="90"/>
      <c r="R43" s="90"/>
      <c r="S43"/>
      <c r="X43"/>
      <c r="Y43"/>
      <c r="Z43"/>
    </row>
    <row r="44" spans="1:26" ht="18.75" customHeight="1" thickTop="1" thickBot="1" x14ac:dyDescent="0.35">
      <c r="A44" s="9">
        <v>41</v>
      </c>
      <c r="B44" s="20"/>
      <c r="C44" s="8"/>
      <c r="D44" s="8"/>
      <c r="E44" s="8"/>
      <c r="F44" s="31">
        <f t="shared" si="4"/>
        <v>0</v>
      </c>
      <c r="G44" s="9"/>
      <c r="H44" s="72"/>
      <c r="I44" s="67">
        <f t="shared" si="3"/>
        <v>0</v>
      </c>
      <c r="J44" s="32" t="e">
        <f t="shared" si="0"/>
        <v>#DIV/0!</v>
      </c>
      <c r="K44" s="79">
        <v>0.5</v>
      </c>
      <c r="L44" s="74" t="e">
        <f t="shared" ref="L44:L45" si="9">PRODUCT(K44,J44)</f>
        <v>#DIV/0!</v>
      </c>
      <c r="M44" s="25"/>
      <c r="N44" s="76" t="e">
        <f t="shared" ref="N44:N45" si="10">PRODUCT(M44,L44)</f>
        <v>#DIV/0!</v>
      </c>
      <c r="O44" s="90" t="s">
        <v>45</v>
      </c>
      <c r="P44" s="90"/>
      <c r="Q44" s="90"/>
      <c r="R44" s="90"/>
      <c r="S44"/>
    </row>
    <row r="45" spans="1:26" ht="18.75" customHeight="1" thickTop="1" thickBot="1" x14ac:dyDescent="0.35">
      <c r="A45" s="9">
        <v>42</v>
      </c>
      <c r="B45" s="20"/>
      <c r="C45" s="8"/>
      <c r="D45" s="8"/>
      <c r="E45" s="8"/>
      <c r="F45" s="31">
        <f t="shared" si="4"/>
        <v>0</v>
      </c>
      <c r="G45" s="9"/>
      <c r="H45" s="72"/>
      <c r="I45" s="67">
        <f t="shared" si="3"/>
        <v>0</v>
      </c>
      <c r="J45" s="32" t="e">
        <f t="shared" si="0"/>
        <v>#DIV/0!</v>
      </c>
      <c r="K45" s="79">
        <v>0.5</v>
      </c>
      <c r="L45" s="74" t="e">
        <f t="shared" si="9"/>
        <v>#DIV/0!</v>
      </c>
      <c r="M45" s="25"/>
      <c r="N45" s="76" t="e">
        <f t="shared" si="10"/>
        <v>#DIV/0!</v>
      </c>
      <c r="O45" s="90" t="s">
        <v>46</v>
      </c>
      <c r="P45" s="90"/>
      <c r="Q45" s="90"/>
      <c r="R45" s="90"/>
      <c r="S45"/>
    </row>
    <row r="46" spans="1:26" ht="17.25" thickTop="1" x14ac:dyDescent="0.3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87"/>
      <c r="B48" s="7"/>
      <c r="C48" s="7"/>
      <c r="D48" s="7"/>
      <c r="E48" s="87"/>
      <c r="F48" s="8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87"/>
      <c r="B49" s="7"/>
      <c r="C49" s="7"/>
      <c r="D49" s="7"/>
      <c r="E49" s="87"/>
      <c r="F49" s="8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87"/>
      <c r="B53" s="87"/>
      <c r="C53" s="87"/>
      <c r="D53" s="87"/>
      <c r="E53" s="87"/>
      <c r="F53" s="8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87"/>
      <c r="B54" s="87"/>
      <c r="C54" s="7"/>
      <c r="D54" s="7"/>
      <c r="E54" s="87"/>
      <c r="F54" s="8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87"/>
      <c r="B55" s="7"/>
      <c r="C55" s="7"/>
      <c r="D55" s="7"/>
      <c r="E55" s="87"/>
      <c r="F55" s="87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87"/>
      <c r="B57" s="8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U31:W31"/>
    <mergeCell ref="U32:W32"/>
    <mergeCell ref="U33:W33"/>
    <mergeCell ref="O42:R42"/>
    <mergeCell ref="O43:R43"/>
    <mergeCell ref="O37:R37"/>
    <mergeCell ref="O38:R38"/>
    <mergeCell ref="O39:R39"/>
    <mergeCell ref="O35:Q36"/>
    <mergeCell ref="R35:R36"/>
    <mergeCell ref="O40:R40"/>
    <mergeCell ref="O41:R41"/>
    <mergeCell ref="R31:R32"/>
    <mergeCell ref="O31:Q32"/>
    <mergeCell ref="O33:Q34"/>
    <mergeCell ref="R33:R34"/>
    <mergeCell ref="A1:H2"/>
    <mergeCell ref="O3:R3"/>
    <mergeCell ref="O28:Q28"/>
    <mergeCell ref="O29:Q29"/>
    <mergeCell ref="O30:Q30"/>
    <mergeCell ref="A46:N46"/>
    <mergeCell ref="A48:A49"/>
    <mergeCell ref="E48:F48"/>
    <mergeCell ref="E49:F49"/>
    <mergeCell ref="U34:W34"/>
    <mergeCell ref="O44:R44"/>
    <mergeCell ref="O45:R45"/>
    <mergeCell ref="A57:B57"/>
    <mergeCell ref="A53:A55"/>
    <mergeCell ref="B53:B54"/>
    <mergeCell ref="C53:D53"/>
    <mergeCell ref="E53:F54"/>
    <mergeCell ref="E55:F55"/>
  </mergeCells>
  <phoneticPr fontId="26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topLeftCell="G1" zoomScale="85" zoomScaleNormal="85" workbookViewId="0">
      <selection activeCell="K20" sqref="K20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4" t="s">
        <v>32</v>
      </c>
      <c r="B1" s="94"/>
      <c r="C1" s="94"/>
      <c r="D1" s="94"/>
      <c r="E1" s="94"/>
      <c r="F1" s="94"/>
      <c r="G1" s="94"/>
      <c r="H1" s="94"/>
      <c r="I1" s="40" t="s">
        <v>26</v>
      </c>
      <c r="J1" s="98" t="s">
        <v>125</v>
      </c>
      <c r="K1" s="39" t="s">
        <v>4</v>
      </c>
      <c r="L1" s="39" t="s">
        <v>2</v>
      </c>
      <c r="M1" s="39" t="s">
        <v>12</v>
      </c>
      <c r="N1" s="44" t="s">
        <v>28</v>
      </c>
      <c r="O1" s="44" t="s">
        <v>30</v>
      </c>
      <c r="P1" s="45" t="s">
        <v>31</v>
      </c>
      <c r="Q1" s="77" t="s">
        <v>35</v>
      </c>
      <c r="R1" s="44" t="s">
        <v>34</v>
      </c>
    </row>
    <row r="2" spans="1:25" ht="21.75" customHeight="1" thickTop="1" thickBot="1" x14ac:dyDescent="0.35">
      <c r="A2" s="95"/>
      <c r="B2" s="95"/>
      <c r="C2" s="95"/>
      <c r="D2" s="95"/>
      <c r="E2" s="95"/>
      <c r="F2" s="95"/>
      <c r="G2" s="95"/>
      <c r="H2" s="95"/>
      <c r="I2" s="40" t="s">
        <v>27</v>
      </c>
      <c r="J2" s="98" t="s">
        <v>106</v>
      </c>
      <c r="K2" s="46">
        <f>COUNTA(B4:B45)</f>
        <v>8</v>
      </c>
      <c r="L2" s="46">
        <f>COUNTIFS(C4:C45,"남")</f>
        <v>2</v>
      </c>
      <c r="M2" s="46">
        <f>COUNTIFS(C4:C45,"여")</f>
        <v>6</v>
      </c>
      <c r="N2" s="47">
        <f>AVERAGEIF(J4:J44,"&gt;0",J4:J44)</f>
        <v>38500</v>
      </c>
      <c r="O2" s="48">
        <f>SUM(M4:M45)</f>
        <v>15</v>
      </c>
      <c r="P2" s="49">
        <f>SUM(F4:F45)</f>
        <v>55</v>
      </c>
      <c r="Q2" s="78">
        <f>SUM(Q5:Q27)</f>
        <v>880000</v>
      </c>
      <c r="R2" s="78">
        <f>SUM(R5:R27)</f>
        <v>820000</v>
      </c>
    </row>
    <row r="3" spans="1:25" ht="30" thickTop="1" thickBot="1" x14ac:dyDescent="0.35">
      <c r="A3" s="39" t="s">
        <v>0</v>
      </c>
      <c r="B3" s="40" t="s">
        <v>3</v>
      </c>
      <c r="C3" s="39" t="s">
        <v>1</v>
      </c>
      <c r="D3" s="39" t="s">
        <v>21</v>
      </c>
      <c r="E3" s="40" t="s">
        <v>38</v>
      </c>
      <c r="F3" s="40" t="s">
        <v>5</v>
      </c>
      <c r="G3" s="40" t="s">
        <v>33</v>
      </c>
      <c r="H3" s="40" t="s">
        <v>15</v>
      </c>
      <c r="I3" s="41" t="s">
        <v>22</v>
      </c>
      <c r="J3" s="41" t="s">
        <v>11</v>
      </c>
      <c r="K3" s="42" t="s">
        <v>13</v>
      </c>
      <c r="L3" s="41" t="s">
        <v>14</v>
      </c>
      <c r="M3" s="41" t="s">
        <v>20</v>
      </c>
      <c r="N3" s="41" t="s">
        <v>14</v>
      </c>
      <c r="O3" s="96" t="s">
        <v>6</v>
      </c>
      <c r="P3" s="96"/>
      <c r="Q3" s="96"/>
      <c r="R3" s="96"/>
    </row>
    <row r="4" spans="1:25" ht="18.75" customHeight="1" thickTop="1" thickBot="1" x14ac:dyDescent="0.35">
      <c r="A4" s="33">
        <v>1</v>
      </c>
      <c r="B4" s="81" t="s">
        <v>64</v>
      </c>
      <c r="C4" s="34" t="s">
        <v>12</v>
      </c>
      <c r="D4" s="35">
        <v>10</v>
      </c>
      <c r="E4" s="35">
        <v>4</v>
      </c>
      <c r="F4" s="36">
        <f t="shared" ref="F4:F45" si="0">D4-E4</f>
        <v>6</v>
      </c>
      <c r="G4" s="33" t="s">
        <v>37</v>
      </c>
      <c r="H4" s="69">
        <v>440000</v>
      </c>
      <c r="I4" s="67">
        <f>IF(G4="현금",H4,H4/1.1)</f>
        <v>399999.99999999994</v>
      </c>
      <c r="J4" s="37">
        <f t="shared" ref="J4:J45" si="1">I4/D4</f>
        <v>39999.999999999993</v>
      </c>
      <c r="K4" s="79">
        <v>0.5</v>
      </c>
      <c r="L4" s="73">
        <f t="shared" ref="L4:L45" si="2">PRODUCT(K4,J4)</f>
        <v>19999.999999999996</v>
      </c>
      <c r="M4" s="38">
        <v>4</v>
      </c>
      <c r="N4" s="75">
        <f t="shared" ref="N4:N45" si="3">PRODUCT(M4,L4)</f>
        <v>79999.999999999985</v>
      </c>
      <c r="O4" s="50" t="s">
        <v>7</v>
      </c>
      <c r="P4" s="50" t="s">
        <v>10</v>
      </c>
      <c r="Q4" s="50" t="s">
        <v>8</v>
      </c>
      <c r="R4" s="51" t="s">
        <v>9</v>
      </c>
      <c r="Y4" s="4"/>
    </row>
    <row r="5" spans="1:25" ht="18.75" customHeight="1" thickTop="1" thickBot="1" x14ac:dyDescent="0.35">
      <c r="A5" s="9">
        <v>2</v>
      </c>
      <c r="B5" s="82" t="s">
        <v>65</v>
      </c>
      <c r="C5" s="6" t="s">
        <v>12</v>
      </c>
      <c r="D5" s="5">
        <v>10</v>
      </c>
      <c r="E5" s="5">
        <v>3</v>
      </c>
      <c r="F5" s="31">
        <f t="shared" si="0"/>
        <v>7</v>
      </c>
      <c r="G5" s="9" t="s">
        <v>36</v>
      </c>
      <c r="H5" s="70">
        <v>440000</v>
      </c>
      <c r="I5" s="67">
        <f t="shared" ref="I5:I45" si="4">IF(G5="현금",H5,H5/1.1)</f>
        <v>440000</v>
      </c>
      <c r="J5" s="32">
        <f t="shared" si="1"/>
        <v>44000</v>
      </c>
      <c r="K5" s="79">
        <v>0.5</v>
      </c>
      <c r="L5" s="74">
        <f t="shared" si="2"/>
        <v>22000</v>
      </c>
      <c r="M5" s="21">
        <v>3</v>
      </c>
      <c r="N5" s="76">
        <f t="shared" si="3"/>
        <v>66000</v>
      </c>
      <c r="O5" s="104" t="s">
        <v>64</v>
      </c>
      <c r="P5" s="105" t="s">
        <v>61</v>
      </c>
      <c r="Q5" s="54">
        <v>440000</v>
      </c>
      <c r="R5" s="67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82" t="s">
        <v>66</v>
      </c>
      <c r="C6" s="6" t="s">
        <v>12</v>
      </c>
      <c r="D6" s="5">
        <v>10</v>
      </c>
      <c r="E6" s="5">
        <v>3</v>
      </c>
      <c r="F6" s="31">
        <f t="shared" si="0"/>
        <v>7</v>
      </c>
      <c r="G6" s="9" t="s">
        <v>61</v>
      </c>
      <c r="H6" s="70">
        <v>440000</v>
      </c>
      <c r="I6" s="67">
        <f t="shared" si="4"/>
        <v>399999.99999999994</v>
      </c>
      <c r="J6" s="32">
        <f t="shared" si="1"/>
        <v>39999.999999999993</v>
      </c>
      <c r="K6" s="79">
        <v>0.5</v>
      </c>
      <c r="L6" s="74">
        <f t="shared" si="2"/>
        <v>19999.999999999996</v>
      </c>
      <c r="M6" s="21">
        <v>3</v>
      </c>
      <c r="N6" s="76">
        <f t="shared" si="3"/>
        <v>59999.999999999985</v>
      </c>
      <c r="O6" s="104" t="s">
        <v>67</v>
      </c>
      <c r="P6" s="105" t="s">
        <v>36</v>
      </c>
      <c r="Q6" s="54">
        <v>220000</v>
      </c>
      <c r="R6" s="67">
        <f t="shared" ref="R6:R27" si="5">IF(P6="현금",Q6,Q6/1.1)</f>
        <v>220000</v>
      </c>
      <c r="Y6" s="4"/>
    </row>
    <row r="7" spans="1:25" ht="18.75" customHeight="1" thickTop="1" thickBot="1" x14ac:dyDescent="0.35">
      <c r="A7" s="9">
        <v>4</v>
      </c>
      <c r="B7" s="82" t="s">
        <v>67</v>
      </c>
      <c r="C7" s="6" t="s">
        <v>12</v>
      </c>
      <c r="D7" s="5">
        <v>5</v>
      </c>
      <c r="E7" s="5">
        <v>2</v>
      </c>
      <c r="F7" s="31">
        <f t="shared" si="0"/>
        <v>3</v>
      </c>
      <c r="G7" s="9" t="s">
        <v>36</v>
      </c>
      <c r="H7" s="70">
        <v>220000</v>
      </c>
      <c r="I7" s="67">
        <f t="shared" si="4"/>
        <v>220000</v>
      </c>
      <c r="J7" s="32">
        <f t="shared" si="1"/>
        <v>44000</v>
      </c>
      <c r="K7" s="79">
        <v>0.5</v>
      </c>
      <c r="L7" s="74">
        <f t="shared" si="2"/>
        <v>22000</v>
      </c>
      <c r="M7" s="21">
        <v>2</v>
      </c>
      <c r="N7" s="76">
        <f t="shared" si="3"/>
        <v>44000</v>
      </c>
      <c r="O7" s="106" t="s">
        <v>68</v>
      </c>
      <c r="P7" s="105" t="s">
        <v>37</v>
      </c>
      <c r="Q7" s="54">
        <v>220000</v>
      </c>
      <c r="R7" s="67">
        <f t="shared" si="5"/>
        <v>199999.99999999997</v>
      </c>
      <c r="Y7" s="4"/>
    </row>
    <row r="8" spans="1:25" ht="18.75" customHeight="1" thickTop="1" thickBot="1" x14ac:dyDescent="0.35">
      <c r="A8" s="9">
        <v>5</v>
      </c>
      <c r="B8" s="82" t="s">
        <v>68</v>
      </c>
      <c r="C8" s="6" t="s">
        <v>12</v>
      </c>
      <c r="D8" s="5">
        <v>5</v>
      </c>
      <c r="E8" s="5">
        <v>0</v>
      </c>
      <c r="F8" s="31">
        <f t="shared" si="0"/>
        <v>5</v>
      </c>
      <c r="G8" s="9" t="s">
        <v>37</v>
      </c>
      <c r="H8" s="70">
        <v>220000</v>
      </c>
      <c r="I8" s="67">
        <f t="shared" si="4"/>
        <v>199999.99999999997</v>
      </c>
      <c r="J8" s="32">
        <f t="shared" si="1"/>
        <v>39999.999999999993</v>
      </c>
      <c r="K8" s="79">
        <v>0.5</v>
      </c>
      <c r="L8" s="74">
        <f t="shared" si="2"/>
        <v>19999.999999999996</v>
      </c>
      <c r="M8" s="21">
        <v>0</v>
      </c>
      <c r="N8" s="76">
        <f t="shared" si="3"/>
        <v>0</v>
      </c>
      <c r="O8" s="106"/>
      <c r="P8" s="105"/>
      <c r="Q8" s="54"/>
      <c r="R8" s="67">
        <f t="shared" si="5"/>
        <v>0</v>
      </c>
      <c r="Y8" s="4"/>
    </row>
    <row r="9" spans="1:25" ht="18.75" customHeight="1" thickTop="1" thickBot="1" x14ac:dyDescent="0.35">
      <c r="A9" s="9">
        <v>6</v>
      </c>
      <c r="B9" s="82" t="s">
        <v>69</v>
      </c>
      <c r="C9" s="6" t="s">
        <v>50</v>
      </c>
      <c r="D9" s="5">
        <v>10</v>
      </c>
      <c r="E9" s="5">
        <v>3</v>
      </c>
      <c r="F9" s="31">
        <f t="shared" si="0"/>
        <v>7</v>
      </c>
      <c r="G9" s="9" t="s">
        <v>61</v>
      </c>
      <c r="H9" s="70">
        <v>440000</v>
      </c>
      <c r="I9" s="67">
        <f t="shared" si="4"/>
        <v>399999.99999999994</v>
      </c>
      <c r="J9" s="32">
        <f t="shared" si="1"/>
        <v>39999.999999999993</v>
      </c>
      <c r="K9" s="79">
        <v>0.5</v>
      </c>
      <c r="L9" s="74">
        <f t="shared" si="2"/>
        <v>19999.999999999996</v>
      </c>
      <c r="M9" s="21">
        <v>3</v>
      </c>
      <c r="N9" s="76">
        <f t="shared" si="3"/>
        <v>59999.999999999985</v>
      </c>
      <c r="O9" s="57"/>
      <c r="P9" s="58"/>
      <c r="Q9" s="54"/>
      <c r="R9" s="67">
        <f t="shared" si="5"/>
        <v>0</v>
      </c>
      <c r="Y9" s="4"/>
    </row>
    <row r="10" spans="1:25" ht="18.75" customHeight="1" thickTop="1" thickBot="1" x14ac:dyDescent="0.35">
      <c r="A10" s="9">
        <v>7</v>
      </c>
      <c r="B10" s="86" t="s">
        <v>103</v>
      </c>
      <c r="C10" s="6" t="s">
        <v>12</v>
      </c>
      <c r="D10" s="5">
        <v>10</v>
      </c>
      <c r="E10" s="5">
        <v>0</v>
      </c>
      <c r="F10" s="31">
        <f t="shared" si="0"/>
        <v>10</v>
      </c>
      <c r="G10" s="9" t="s">
        <v>37</v>
      </c>
      <c r="H10" s="70">
        <v>440000</v>
      </c>
      <c r="I10" s="67">
        <f t="shared" si="4"/>
        <v>399999.99999999994</v>
      </c>
      <c r="J10" s="32">
        <f t="shared" si="1"/>
        <v>39999.999999999993</v>
      </c>
      <c r="K10" s="79">
        <v>0.5</v>
      </c>
      <c r="L10" s="74">
        <f t="shared" si="2"/>
        <v>19999.999999999996</v>
      </c>
      <c r="M10" s="21">
        <v>0</v>
      </c>
      <c r="N10" s="76">
        <f t="shared" si="3"/>
        <v>0</v>
      </c>
      <c r="O10" s="60"/>
      <c r="P10" s="61"/>
      <c r="Q10" s="54"/>
      <c r="R10" s="67">
        <f t="shared" si="5"/>
        <v>0</v>
      </c>
      <c r="Y10" s="4"/>
    </row>
    <row r="11" spans="1:25" ht="18.75" customHeight="1" thickTop="1" thickBot="1" x14ac:dyDescent="0.35">
      <c r="A11" s="9">
        <v>8</v>
      </c>
      <c r="B11" s="86" t="s">
        <v>104</v>
      </c>
      <c r="C11" s="6" t="s">
        <v>50</v>
      </c>
      <c r="D11" s="5">
        <v>10</v>
      </c>
      <c r="E11" s="5">
        <v>0</v>
      </c>
      <c r="F11" s="31">
        <f t="shared" si="0"/>
        <v>10</v>
      </c>
      <c r="G11" s="9" t="s">
        <v>37</v>
      </c>
      <c r="H11" s="70">
        <v>220000</v>
      </c>
      <c r="I11" s="67">
        <f t="shared" si="4"/>
        <v>199999.99999999997</v>
      </c>
      <c r="J11" s="32">
        <f t="shared" si="1"/>
        <v>19999.999999999996</v>
      </c>
      <c r="K11" s="79">
        <v>0.5</v>
      </c>
      <c r="L11" s="74">
        <f t="shared" si="2"/>
        <v>9999.9999999999982</v>
      </c>
      <c r="M11" s="21">
        <v>0</v>
      </c>
      <c r="N11" s="76">
        <f t="shared" si="3"/>
        <v>0</v>
      </c>
      <c r="O11" s="60"/>
      <c r="P11" s="61"/>
      <c r="Q11" s="62"/>
      <c r="R11" s="67">
        <f t="shared" si="5"/>
        <v>0</v>
      </c>
      <c r="Y11" s="4"/>
    </row>
    <row r="12" spans="1:25" ht="18.75" customHeight="1" thickTop="1" thickBot="1" x14ac:dyDescent="0.35">
      <c r="A12" s="9">
        <v>9</v>
      </c>
      <c r="B12" s="18"/>
      <c r="C12" s="6"/>
      <c r="D12" s="5"/>
      <c r="E12" s="5"/>
      <c r="F12" s="31">
        <f t="shared" si="0"/>
        <v>0</v>
      </c>
      <c r="G12" s="9"/>
      <c r="H12" s="70"/>
      <c r="I12" s="67">
        <f t="shared" si="4"/>
        <v>0</v>
      </c>
      <c r="J12" s="32" t="e">
        <f t="shared" si="1"/>
        <v>#DIV/0!</v>
      </c>
      <c r="K12" s="80">
        <v>0.3</v>
      </c>
      <c r="L12" s="74" t="e">
        <f t="shared" si="2"/>
        <v>#DIV/0!</v>
      </c>
      <c r="M12" s="21"/>
      <c r="N12" s="76" t="e">
        <f t="shared" si="3"/>
        <v>#DIV/0!</v>
      </c>
      <c r="O12" s="60"/>
      <c r="P12" s="60"/>
      <c r="Q12" s="61"/>
      <c r="R12" s="67">
        <f t="shared" si="5"/>
        <v>0</v>
      </c>
      <c r="Y12" s="4"/>
    </row>
    <row r="13" spans="1:25" ht="18.75" customHeight="1" thickTop="1" thickBot="1" x14ac:dyDescent="0.35">
      <c r="A13" s="9">
        <v>10</v>
      </c>
      <c r="B13" s="18"/>
      <c r="C13" s="6"/>
      <c r="D13" s="5"/>
      <c r="E13" s="5"/>
      <c r="F13" s="31">
        <f t="shared" si="0"/>
        <v>0</v>
      </c>
      <c r="G13" s="9"/>
      <c r="H13" s="70"/>
      <c r="I13" s="67">
        <f t="shared" si="4"/>
        <v>0</v>
      </c>
      <c r="J13" s="32" t="e">
        <f t="shared" si="1"/>
        <v>#DIV/0!</v>
      </c>
      <c r="K13" s="80">
        <v>0.3</v>
      </c>
      <c r="L13" s="74" t="e">
        <f t="shared" si="2"/>
        <v>#DIV/0!</v>
      </c>
      <c r="M13" s="21"/>
      <c r="N13" s="76" t="e">
        <f t="shared" si="3"/>
        <v>#DIV/0!</v>
      </c>
      <c r="O13" s="60"/>
      <c r="P13" s="60"/>
      <c r="Q13" s="61"/>
      <c r="R13" s="67">
        <f t="shared" si="5"/>
        <v>0</v>
      </c>
      <c r="S13" s="26"/>
      <c r="U13" s="27"/>
      <c r="V13" s="27"/>
      <c r="Y13" s="4"/>
    </row>
    <row r="14" spans="1:25" ht="18.75" customHeight="1" thickTop="1" thickBot="1" x14ac:dyDescent="0.35">
      <c r="A14" s="9">
        <v>11</v>
      </c>
      <c r="B14" s="18"/>
      <c r="C14" s="6"/>
      <c r="D14" s="5"/>
      <c r="E14" s="5"/>
      <c r="F14" s="31">
        <f t="shared" si="0"/>
        <v>0</v>
      </c>
      <c r="G14" s="9"/>
      <c r="H14" s="70"/>
      <c r="I14" s="67">
        <f t="shared" si="4"/>
        <v>0</v>
      </c>
      <c r="J14" s="32" t="e">
        <f t="shared" si="1"/>
        <v>#DIV/0!</v>
      </c>
      <c r="K14" s="80">
        <v>0.3</v>
      </c>
      <c r="L14" s="74" t="e">
        <f t="shared" si="2"/>
        <v>#DIV/0!</v>
      </c>
      <c r="M14" s="21"/>
      <c r="N14" s="76" t="e">
        <f t="shared" si="3"/>
        <v>#DIV/0!</v>
      </c>
      <c r="O14" s="60"/>
      <c r="P14" s="60"/>
      <c r="Q14" s="61"/>
      <c r="R14" s="67">
        <f t="shared" si="5"/>
        <v>0</v>
      </c>
      <c r="S14" s="26"/>
      <c r="U14" s="27"/>
      <c r="Y14" s="4"/>
    </row>
    <row r="15" spans="1:25" ht="18.75" customHeight="1" thickTop="1" thickBot="1" x14ac:dyDescent="0.35">
      <c r="A15" s="9">
        <v>12</v>
      </c>
      <c r="B15" s="19"/>
      <c r="C15" s="6"/>
      <c r="D15" s="5"/>
      <c r="E15" s="5"/>
      <c r="F15" s="31">
        <f t="shared" si="0"/>
        <v>0</v>
      </c>
      <c r="G15" s="9"/>
      <c r="H15" s="70"/>
      <c r="I15" s="67">
        <f t="shared" si="4"/>
        <v>0</v>
      </c>
      <c r="J15" s="32" t="e">
        <f t="shared" si="1"/>
        <v>#DIV/0!</v>
      </c>
      <c r="K15" s="80">
        <v>0.3</v>
      </c>
      <c r="L15" s="74" t="e">
        <f t="shared" si="2"/>
        <v>#DIV/0!</v>
      </c>
      <c r="M15" s="21"/>
      <c r="N15" s="76" t="e">
        <f t="shared" si="3"/>
        <v>#DIV/0!</v>
      </c>
      <c r="O15" s="60"/>
      <c r="P15" s="60"/>
      <c r="Q15" s="61"/>
      <c r="R15" s="67">
        <f t="shared" si="5"/>
        <v>0</v>
      </c>
      <c r="S15" s="26"/>
      <c r="U15" s="27"/>
      <c r="V15" s="27"/>
      <c r="Y15" s="4"/>
    </row>
    <row r="16" spans="1:25" ht="18.75" customHeight="1" thickTop="1" thickBot="1" x14ac:dyDescent="0.35">
      <c r="A16" s="9">
        <v>13</v>
      </c>
      <c r="B16" s="19"/>
      <c r="C16" s="6"/>
      <c r="D16" s="5"/>
      <c r="E16" s="5"/>
      <c r="F16" s="31">
        <f t="shared" si="0"/>
        <v>0</v>
      </c>
      <c r="G16" s="9"/>
      <c r="H16" s="70"/>
      <c r="I16" s="67">
        <f t="shared" si="4"/>
        <v>0</v>
      </c>
      <c r="J16" s="32" t="e">
        <f t="shared" si="1"/>
        <v>#DIV/0!</v>
      </c>
      <c r="K16" s="80">
        <v>0.3</v>
      </c>
      <c r="L16" s="74" t="e">
        <f t="shared" si="2"/>
        <v>#DIV/0!</v>
      </c>
      <c r="M16" s="21"/>
      <c r="N16" s="76" t="e">
        <f t="shared" si="3"/>
        <v>#DIV/0!</v>
      </c>
      <c r="O16" s="60"/>
      <c r="P16" s="60"/>
      <c r="Q16" s="61"/>
      <c r="R16" s="67">
        <f t="shared" si="5"/>
        <v>0</v>
      </c>
      <c r="S16" s="26"/>
      <c r="U16" s="27"/>
      <c r="Y16" s="4"/>
    </row>
    <row r="17" spans="1:25" ht="18.75" customHeight="1" thickTop="1" thickBot="1" x14ac:dyDescent="0.35">
      <c r="A17" s="9">
        <v>14</v>
      </c>
      <c r="B17" s="19"/>
      <c r="C17" s="6"/>
      <c r="D17" s="5"/>
      <c r="E17" s="5"/>
      <c r="F17" s="31">
        <f t="shared" si="0"/>
        <v>0</v>
      </c>
      <c r="G17" s="9"/>
      <c r="H17" s="70"/>
      <c r="I17" s="67">
        <f t="shared" si="4"/>
        <v>0</v>
      </c>
      <c r="J17" s="32" t="e">
        <f t="shared" si="1"/>
        <v>#DIV/0!</v>
      </c>
      <c r="K17" s="80">
        <v>0.3</v>
      </c>
      <c r="L17" s="74" t="e">
        <f t="shared" si="2"/>
        <v>#DIV/0!</v>
      </c>
      <c r="M17" s="21"/>
      <c r="N17" s="76" t="e">
        <f t="shared" si="3"/>
        <v>#DIV/0!</v>
      </c>
      <c r="O17" s="60"/>
      <c r="P17" s="60"/>
      <c r="Q17" s="61"/>
      <c r="R17" s="67">
        <f t="shared" si="5"/>
        <v>0</v>
      </c>
      <c r="S17" s="26"/>
      <c r="U17" s="27"/>
      <c r="V17" s="27"/>
      <c r="Y17" s="4"/>
    </row>
    <row r="18" spans="1:25" ht="18.75" customHeight="1" thickTop="1" thickBot="1" x14ac:dyDescent="0.35">
      <c r="A18" s="9">
        <v>15</v>
      </c>
      <c r="B18" s="16"/>
      <c r="C18" s="6"/>
      <c r="D18" s="5"/>
      <c r="E18" s="5"/>
      <c r="F18" s="31">
        <f t="shared" si="0"/>
        <v>0</v>
      </c>
      <c r="G18" s="9"/>
      <c r="H18" s="70"/>
      <c r="I18" s="67">
        <f t="shared" si="4"/>
        <v>0</v>
      </c>
      <c r="J18" s="32" t="e">
        <f t="shared" si="1"/>
        <v>#DIV/0!</v>
      </c>
      <c r="K18" s="80">
        <v>0.3</v>
      </c>
      <c r="L18" s="74" t="e">
        <f t="shared" si="2"/>
        <v>#DIV/0!</v>
      </c>
      <c r="M18" s="21"/>
      <c r="N18" s="76" t="e">
        <f t="shared" si="3"/>
        <v>#DIV/0!</v>
      </c>
      <c r="O18" s="60"/>
      <c r="P18" s="60"/>
      <c r="Q18" s="61"/>
      <c r="R18" s="67">
        <f t="shared" si="5"/>
        <v>0</v>
      </c>
      <c r="S18" s="26"/>
      <c r="U18" s="27"/>
      <c r="V18" s="27"/>
      <c r="Y18" s="4"/>
    </row>
    <row r="19" spans="1:25" ht="18.75" customHeight="1" thickTop="1" thickBot="1" x14ac:dyDescent="0.35">
      <c r="A19" s="9">
        <v>16</v>
      </c>
      <c r="B19" s="17"/>
      <c r="C19" s="6"/>
      <c r="D19" s="5"/>
      <c r="E19" s="5"/>
      <c r="F19" s="31">
        <f t="shared" si="0"/>
        <v>0</v>
      </c>
      <c r="G19" s="9"/>
      <c r="H19" s="70"/>
      <c r="I19" s="67">
        <f t="shared" si="4"/>
        <v>0</v>
      </c>
      <c r="J19" s="32" t="e">
        <f t="shared" si="1"/>
        <v>#DIV/0!</v>
      </c>
      <c r="K19" s="80">
        <v>0.3</v>
      </c>
      <c r="L19" s="74" t="e">
        <f t="shared" si="2"/>
        <v>#DIV/0!</v>
      </c>
      <c r="M19" s="21"/>
      <c r="N19" s="76" t="e">
        <f t="shared" si="3"/>
        <v>#DIV/0!</v>
      </c>
      <c r="O19" s="60"/>
      <c r="P19" s="61"/>
      <c r="Q19" s="61"/>
      <c r="R19" s="67">
        <f t="shared" si="5"/>
        <v>0</v>
      </c>
      <c r="S19" s="26"/>
      <c r="U19" s="27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1">
        <f t="shared" si="0"/>
        <v>0</v>
      </c>
      <c r="G20" s="9"/>
      <c r="H20" s="70"/>
      <c r="I20" s="67">
        <f t="shared" si="4"/>
        <v>0</v>
      </c>
      <c r="J20" s="32" t="e">
        <f t="shared" si="1"/>
        <v>#DIV/0!</v>
      </c>
      <c r="K20" s="80">
        <v>0.3</v>
      </c>
      <c r="L20" s="74" t="e">
        <f t="shared" si="2"/>
        <v>#DIV/0!</v>
      </c>
      <c r="M20" s="21"/>
      <c r="N20" s="76" t="e">
        <f t="shared" si="3"/>
        <v>#DIV/0!</v>
      </c>
      <c r="O20" s="60"/>
      <c r="P20" s="61"/>
      <c r="Q20" s="61"/>
      <c r="R20" s="67">
        <f t="shared" si="5"/>
        <v>0</v>
      </c>
      <c r="S20" s="26"/>
      <c r="U20" s="27"/>
      <c r="V20" s="27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1">
        <f t="shared" si="0"/>
        <v>0</v>
      </c>
      <c r="G21" s="9"/>
      <c r="H21" s="70"/>
      <c r="I21" s="67">
        <f t="shared" si="4"/>
        <v>0</v>
      </c>
      <c r="J21" s="32" t="e">
        <f t="shared" si="1"/>
        <v>#DIV/0!</v>
      </c>
      <c r="K21" s="80">
        <v>0.3</v>
      </c>
      <c r="L21" s="74" t="e">
        <f t="shared" si="2"/>
        <v>#DIV/0!</v>
      </c>
      <c r="M21" s="21"/>
      <c r="N21" s="76" t="e">
        <f t="shared" si="3"/>
        <v>#DIV/0!</v>
      </c>
      <c r="O21" s="60"/>
      <c r="P21" s="61"/>
      <c r="Q21" s="61"/>
      <c r="R21" s="67">
        <f t="shared" si="5"/>
        <v>0</v>
      </c>
      <c r="S21" s="26"/>
      <c r="U21" s="27"/>
      <c r="V21" s="27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1">
        <f t="shared" si="0"/>
        <v>0</v>
      </c>
      <c r="G22" s="9"/>
      <c r="H22" s="70"/>
      <c r="I22" s="67">
        <f t="shared" si="4"/>
        <v>0</v>
      </c>
      <c r="J22" s="32" t="e">
        <f t="shared" si="1"/>
        <v>#DIV/0!</v>
      </c>
      <c r="K22" s="80">
        <v>0.3</v>
      </c>
      <c r="L22" s="74" t="e">
        <f t="shared" si="2"/>
        <v>#DIV/0!</v>
      </c>
      <c r="M22" s="21"/>
      <c r="N22" s="76" t="e">
        <f t="shared" si="3"/>
        <v>#DIV/0!</v>
      </c>
      <c r="O22" s="60"/>
      <c r="P22" s="61"/>
      <c r="Q22" s="61"/>
      <c r="R22" s="67">
        <f t="shared" si="5"/>
        <v>0</v>
      </c>
      <c r="S22" s="26"/>
      <c r="T22" s="28"/>
      <c r="U22" s="27"/>
      <c r="V22" s="27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1">
        <f t="shared" si="0"/>
        <v>0</v>
      </c>
      <c r="G23" s="9"/>
      <c r="H23" s="70"/>
      <c r="I23" s="67">
        <f t="shared" si="4"/>
        <v>0</v>
      </c>
      <c r="J23" s="32" t="e">
        <f t="shared" si="1"/>
        <v>#DIV/0!</v>
      </c>
      <c r="K23" s="80">
        <v>0.3</v>
      </c>
      <c r="L23" s="74" t="e">
        <f t="shared" si="2"/>
        <v>#DIV/0!</v>
      </c>
      <c r="M23" s="21"/>
      <c r="N23" s="76" t="e">
        <f t="shared" si="3"/>
        <v>#DIV/0!</v>
      </c>
      <c r="O23" s="63"/>
      <c r="P23" s="64"/>
      <c r="Q23" s="43"/>
      <c r="R23" s="67">
        <f t="shared" si="5"/>
        <v>0</v>
      </c>
      <c r="S23" s="26"/>
      <c r="T23" s="29"/>
      <c r="U23" s="27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1">
        <f t="shared" si="0"/>
        <v>0</v>
      </c>
      <c r="G24" s="9"/>
      <c r="H24" s="70"/>
      <c r="I24" s="67">
        <f t="shared" si="4"/>
        <v>0</v>
      </c>
      <c r="J24" s="32" t="e">
        <f t="shared" si="1"/>
        <v>#DIV/0!</v>
      </c>
      <c r="K24" s="80">
        <v>0.3</v>
      </c>
      <c r="L24" s="74" t="e">
        <f t="shared" si="2"/>
        <v>#DIV/0!</v>
      </c>
      <c r="M24" s="21"/>
      <c r="N24" s="76" t="e">
        <f t="shared" si="3"/>
        <v>#DIV/0!</v>
      </c>
      <c r="O24" s="65"/>
      <c r="P24" s="65"/>
      <c r="Q24" s="43"/>
      <c r="R24" s="67">
        <f t="shared" si="5"/>
        <v>0</v>
      </c>
      <c r="S24" s="26"/>
      <c r="T24" s="30"/>
      <c r="U24" s="27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1">
        <f t="shared" si="0"/>
        <v>0</v>
      </c>
      <c r="G25" s="9"/>
      <c r="H25" s="70"/>
      <c r="I25" s="67">
        <f t="shared" si="4"/>
        <v>0</v>
      </c>
      <c r="J25" s="32" t="e">
        <f t="shared" si="1"/>
        <v>#DIV/0!</v>
      </c>
      <c r="K25" s="80">
        <v>0.3</v>
      </c>
      <c r="L25" s="74" t="e">
        <f t="shared" si="2"/>
        <v>#DIV/0!</v>
      </c>
      <c r="M25" s="21"/>
      <c r="N25" s="76" t="e">
        <f t="shared" si="3"/>
        <v>#DIV/0!</v>
      </c>
      <c r="O25" s="65"/>
      <c r="P25" s="65"/>
      <c r="Q25" s="43"/>
      <c r="R25" s="67">
        <f t="shared" si="5"/>
        <v>0</v>
      </c>
      <c r="S25" s="26"/>
      <c r="T25" s="29"/>
      <c r="U25" s="27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1">
        <f t="shared" si="0"/>
        <v>0</v>
      </c>
      <c r="G26" s="9"/>
      <c r="H26" s="70"/>
      <c r="I26" s="67">
        <f t="shared" si="4"/>
        <v>0</v>
      </c>
      <c r="J26" s="32" t="e">
        <f t="shared" si="1"/>
        <v>#DIV/0!</v>
      </c>
      <c r="K26" s="80">
        <v>0.3</v>
      </c>
      <c r="L26" s="74" t="e">
        <f t="shared" si="2"/>
        <v>#DIV/0!</v>
      </c>
      <c r="M26" s="13"/>
      <c r="N26" s="76" t="e">
        <f t="shared" si="3"/>
        <v>#DIV/0!</v>
      </c>
      <c r="O26" s="65"/>
      <c r="P26" s="65"/>
      <c r="Q26" s="43"/>
      <c r="R26" s="67">
        <f t="shared" si="5"/>
        <v>0</v>
      </c>
      <c r="S26" s="26"/>
      <c r="U26" s="27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1">
        <f t="shared" si="0"/>
        <v>0</v>
      </c>
      <c r="G27" s="9"/>
      <c r="H27" s="70"/>
      <c r="I27" s="67">
        <f t="shared" si="4"/>
        <v>0</v>
      </c>
      <c r="J27" s="32" t="e">
        <f t="shared" si="1"/>
        <v>#DIV/0!</v>
      </c>
      <c r="K27" s="80">
        <v>0.3</v>
      </c>
      <c r="L27" s="74" t="e">
        <f t="shared" si="2"/>
        <v>#DIV/0!</v>
      </c>
      <c r="M27" s="13"/>
      <c r="N27" s="76" t="e">
        <f t="shared" si="3"/>
        <v>#DIV/0!</v>
      </c>
      <c r="O27" s="65"/>
      <c r="P27" s="65"/>
      <c r="Q27" s="43"/>
      <c r="R27" s="67">
        <f t="shared" si="5"/>
        <v>0</v>
      </c>
      <c r="S27" s="26"/>
      <c r="U27" s="27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1">
        <f t="shared" si="0"/>
        <v>0</v>
      </c>
      <c r="G28" s="9"/>
      <c r="H28" s="70"/>
      <c r="I28" s="67">
        <f t="shared" si="4"/>
        <v>0</v>
      </c>
      <c r="J28" s="32" t="e">
        <f t="shared" si="1"/>
        <v>#DIV/0!</v>
      </c>
      <c r="K28" s="80">
        <v>0.3</v>
      </c>
      <c r="L28" s="74" t="e">
        <f t="shared" si="2"/>
        <v>#DIV/0!</v>
      </c>
      <c r="M28" s="13"/>
      <c r="N28" s="76" t="e">
        <f t="shared" si="3"/>
        <v>#DIV/0!</v>
      </c>
      <c r="O28" s="97" t="s">
        <v>18</v>
      </c>
      <c r="P28" s="97"/>
      <c r="Q28" s="97"/>
      <c r="R28" s="68">
        <f>SUM(Q5:Q27)</f>
        <v>880000</v>
      </c>
      <c r="S28" s="26"/>
      <c r="U28" s="27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1">
        <f t="shared" si="0"/>
        <v>0</v>
      </c>
      <c r="G29" s="9"/>
      <c r="H29" s="70"/>
      <c r="I29" s="67">
        <f t="shared" si="4"/>
        <v>0</v>
      </c>
      <c r="J29" s="32" t="e">
        <f t="shared" si="1"/>
        <v>#DIV/0!</v>
      </c>
      <c r="K29" s="80">
        <v>0.3</v>
      </c>
      <c r="L29" s="74" t="e">
        <f t="shared" si="2"/>
        <v>#DIV/0!</v>
      </c>
      <c r="M29" s="13"/>
      <c r="N29" s="76" t="e">
        <f t="shared" si="3"/>
        <v>#DIV/0!</v>
      </c>
      <c r="O29" s="97" t="s">
        <v>16</v>
      </c>
      <c r="P29" s="97"/>
      <c r="Q29" s="97"/>
      <c r="R29" s="66"/>
      <c r="S29" s="26"/>
      <c r="U29" s="27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1">
        <f t="shared" si="0"/>
        <v>0</v>
      </c>
      <c r="G30" s="9"/>
      <c r="H30" s="70"/>
      <c r="I30" s="67">
        <f t="shared" si="4"/>
        <v>0</v>
      </c>
      <c r="J30" s="32" t="e">
        <f t="shared" si="1"/>
        <v>#DIV/0!</v>
      </c>
      <c r="K30" s="80">
        <v>0.3</v>
      </c>
      <c r="L30" s="74" t="e">
        <f t="shared" si="2"/>
        <v>#DIV/0!</v>
      </c>
      <c r="M30" s="21"/>
      <c r="N30" s="76" t="e">
        <f t="shared" si="3"/>
        <v>#DIV/0!</v>
      </c>
      <c r="O30" s="97" t="s">
        <v>17</v>
      </c>
      <c r="P30" s="97"/>
      <c r="Q30" s="97"/>
      <c r="R30" s="66">
        <f>R29+R28</f>
        <v>880000</v>
      </c>
      <c r="S30" s="26"/>
      <c r="U30" s="27"/>
    </row>
    <row r="31" spans="1:25" ht="18.75" customHeight="1" thickTop="1" thickBot="1" x14ac:dyDescent="0.35">
      <c r="A31" s="9">
        <v>28</v>
      </c>
      <c r="B31" s="22"/>
      <c r="C31" s="5"/>
      <c r="D31" s="5"/>
      <c r="E31" s="5"/>
      <c r="F31" s="31">
        <f t="shared" si="0"/>
        <v>0</v>
      </c>
      <c r="G31" s="9"/>
      <c r="H31" s="70"/>
      <c r="I31" s="67">
        <f t="shared" si="4"/>
        <v>0</v>
      </c>
      <c r="J31" s="32" t="e">
        <f t="shared" si="1"/>
        <v>#DIV/0!</v>
      </c>
      <c r="K31" s="80">
        <v>0.3</v>
      </c>
      <c r="L31" s="74" t="e">
        <f t="shared" si="2"/>
        <v>#DIV/0!</v>
      </c>
      <c r="M31" s="9"/>
      <c r="N31" s="76" t="e">
        <f t="shared" si="3"/>
        <v>#DIV/0!</v>
      </c>
      <c r="O31" s="88" t="s">
        <v>24</v>
      </c>
      <c r="P31" s="88"/>
      <c r="Q31" s="88"/>
      <c r="R31" s="93"/>
      <c r="S31" s="26"/>
      <c r="T31" s="10"/>
      <c r="U31" s="91"/>
      <c r="V31" s="91"/>
      <c r="W31" s="91"/>
      <c r="X31" s="10"/>
    </row>
    <row r="32" spans="1:25" ht="18.75" customHeight="1" thickTop="1" thickBot="1" x14ac:dyDescent="0.35">
      <c r="A32" s="9">
        <v>29</v>
      </c>
      <c r="B32" s="23"/>
      <c r="C32" s="5"/>
      <c r="D32" s="24"/>
      <c r="E32" s="24"/>
      <c r="F32" s="31">
        <f t="shared" si="0"/>
        <v>0</v>
      </c>
      <c r="G32" s="9"/>
      <c r="H32" s="70"/>
      <c r="I32" s="67">
        <f t="shared" si="4"/>
        <v>0</v>
      </c>
      <c r="J32" s="32" t="e">
        <f t="shared" si="1"/>
        <v>#DIV/0!</v>
      </c>
      <c r="K32" s="80">
        <v>0.3</v>
      </c>
      <c r="L32" s="74" t="e">
        <f t="shared" si="2"/>
        <v>#DIV/0!</v>
      </c>
      <c r="M32" s="25"/>
      <c r="N32" s="76" t="e">
        <f t="shared" si="3"/>
        <v>#DIV/0!</v>
      </c>
      <c r="O32" s="88"/>
      <c r="P32" s="88"/>
      <c r="Q32" s="88"/>
      <c r="R32" s="93"/>
      <c r="S32" s="26"/>
      <c r="T32" s="10"/>
      <c r="U32" s="91"/>
      <c r="V32" s="91"/>
      <c r="W32" s="91"/>
      <c r="X32" s="10"/>
    </row>
    <row r="33" spans="1:26" ht="18.75" customHeight="1" thickTop="1" thickBot="1" x14ac:dyDescent="0.35">
      <c r="A33" s="9">
        <v>30</v>
      </c>
      <c r="B33" s="23"/>
      <c r="C33" s="5"/>
      <c r="D33" s="5"/>
      <c r="E33" s="5"/>
      <c r="F33" s="31">
        <f t="shared" si="0"/>
        <v>0</v>
      </c>
      <c r="G33" s="9"/>
      <c r="H33" s="70"/>
      <c r="I33" s="67">
        <f t="shared" si="4"/>
        <v>0</v>
      </c>
      <c r="J33" s="32" t="e">
        <f t="shared" si="1"/>
        <v>#DIV/0!</v>
      </c>
      <c r="K33" s="80">
        <v>0.3</v>
      </c>
      <c r="L33" s="74" t="e">
        <f t="shared" si="2"/>
        <v>#DIV/0!</v>
      </c>
      <c r="M33" s="25"/>
      <c r="N33" s="76" t="e">
        <f t="shared" si="3"/>
        <v>#DIV/0!</v>
      </c>
      <c r="O33" s="88" t="s">
        <v>25</v>
      </c>
      <c r="P33" s="88"/>
      <c r="Q33" s="88"/>
      <c r="R33" s="92">
        <f>SUMIF(N4:N45,"&gt;0",N4:N45)</f>
        <v>310000</v>
      </c>
      <c r="S33" s="26"/>
      <c r="T33" s="10"/>
      <c r="U33" s="91"/>
      <c r="V33" s="91"/>
      <c r="W33" s="91"/>
      <c r="X33" s="10"/>
    </row>
    <row r="34" spans="1:26" ht="18.75" customHeight="1" thickTop="1" thickBot="1" x14ac:dyDescent="0.35">
      <c r="A34" s="9">
        <v>31</v>
      </c>
      <c r="B34" s="22"/>
      <c r="C34" s="5"/>
      <c r="D34" s="5"/>
      <c r="E34" s="5"/>
      <c r="F34" s="31">
        <f t="shared" si="0"/>
        <v>0</v>
      </c>
      <c r="G34" s="9"/>
      <c r="H34" s="70"/>
      <c r="I34" s="67">
        <f t="shared" si="4"/>
        <v>0</v>
      </c>
      <c r="J34" s="32" t="e">
        <f t="shared" si="1"/>
        <v>#DIV/0!</v>
      </c>
      <c r="K34" s="80">
        <v>0.3</v>
      </c>
      <c r="L34" s="74" t="e">
        <f t="shared" si="2"/>
        <v>#DIV/0!</v>
      </c>
      <c r="M34" s="25"/>
      <c r="N34" s="76" t="e">
        <f t="shared" si="3"/>
        <v>#DIV/0!</v>
      </c>
      <c r="O34" s="88"/>
      <c r="P34" s="88"/>
      <c r="Q34" s="88"/>
      <c r="R34" s="92"/>
      <c r="S34" s="26"/>
      <c r="T34" s="10"/>
      <c r="U34" s="91"/>
      <c r="V34" s="91"/>
      <c r="W34" s="91"/>
      <c r="X34" s="10"/>
      <c r="Y34"/>
      <c r="Z34"/>
    </row>
    <row r="35" spans="1:26" ht="18.75" customHeight="1" thickTop="1" thickBot="1" x14ac:dyDescent="0.35">
      <c r="A35" s="9">
        <v>32</v>
      </c>
      <c r="B35" s="22"/>
      <c r="C35" s="5"/>
      <c r="D35" s="24"/>
      <c r="E35" s="24"/>
      <c r="F35" s="31">
        <f t="shared" si="0"/>
        <v>0</v>
      </c>
      <c r="G35" s="9"/>
      <c r="H35" s="71"/>
      <c r="I35" s="67">
        <f t="shared" si="4"/>
        <v>0</v>
      </c>
      <c r="J35" s="32" t="e">
        <f t="shared" si="1"/>
        <v>#DIV/0!</v>
      </c>
      <c r="K35" s="80">
        <v>0.3</v>
      </c>
      <c r="L35" s="74" t="e">
        <f t="shared" si="2"/>
        <v>#DIV/0!</v>
      </c>
      <c r="M35" s="25"/>
      <c r="N35" s="76" t="e">
        <f t="shared" si="3"/>
        <v>#DIV/0!</v>
      </c>
      <c r="O35" s="88" t="s">
        <v>23</v>
      </c>
      <c r="P35" s="88"/>
      <c r="Q35" s="88"/>
      <c r="R35" s="89">
        <f>R31+R33</f>
        <v>310000</v>
      </c>
      <c r="X35"/>
    </row>
    <row r="36" spans="1:26" ht="18.75" customHeight="1" thickTop="1" thickBot="1" x14ac:dyDescent="0.35">
      <c r="A36" s="9">
        <v>33</v>
      </c>
      <c r="B36" s="22"/>
      <c r="C36" s="5"/>
      <c r="D36" s="5"/>
      <c r="E36" s="5"/>
      <c r="F36" s="31">
        <f t="shared" si="0"/>
        <v>0</v>
      </c>
      <c r="G36" s="9"/>
      <c r="H36" s="70"/>
      <c r="I36" s="67">
        <f t="shared" si="4"/>
        <v>0</v>
      </c>
      <c r="J36" s="32" t="e">
        <f t="shared" si="1"/>
        <v>#DIV/0!</v>
      </c>
      <c r="K36" s="80">
        <v>0.3</v>
      </c>
      <c r="L36" s="74" t="e">
        <f t="shared" si="2"/>
        <v>#DIV/0!</v>
      </c>
      <c r="M36" s="25"/>
      <c r="N36" s="76" t="e">
        <f t="shared" si="3"/>
        <v>#DIV/0!</v>
      </c>
      <c r="O36" s="88"/>
      <c r="P36" s="88"/>
      <c r="Q36" s="88"/>
      <c r="R36" s="89"/>
      <c r="X36"/>
      <c r="Y36"/>
      <c r="Z36"/>
    </row>
    <row r="37" spans="1:26" ht="18.75" customHeight="1" thickTop="1" thickBot="1" x14ac:dyDescent="0.35">
      <c r="A37" s="9">
        <v>34</v>
      </c>
      <c r="B37" s="20"/>
      <c r="C37" s="5"/>
      <c r="D37" s="24"/>
      <c r="E37" s="24"/>
      <c r="F37" s="31">
        <f t="shared" si="0"/>
        <v>0</v>
      </c>
      <c r="G37" s="9"/>
      <c r="H37" s="71"/>
      <c r="I37" s="67">
        <f t="shared" si="4"/>
        <v>0</v>
      </c>
      <c r="J37" s="32" t="e">
        <f t="shared" si="1"/>
        <v>#DIV/0!</v>
      </c>
      <c r="K37" s="80">
        <v>0.3</v>
      </c>
      <c r="L37" s="74" t="e">
        <f t="shared" si="2"/>
        <v>#DIV/0!</v>
      </c>
      <c r="M37" s="25"/>
      <c r="N37" s="76" t="e">
        <f t="shared" si="3"/>
        <v>#DIV/0!</v>
      </c>
      <c r="O37" s="90" t="s">
        <v>40</v>
      </c>
      <c r="P37" s="90"/>
      <c r="Q37" s="90"/>
      <c r="R37" s="90"/>
      <c r="S37"/>
      <c r="X37"/>
      <c r="Y37"/>
      <c r="Z37"/>
    </row>
    <row r="38" spans="1:26" ht="18.75" customHeight="1" thickTop="1" thickBot="1" x14ac:dyDescent="0.35">
      <c r="A38" s="9">
        <v>35</v>
      </c>
      <c r="B38" s="20"/>
      <c r="C38" s="8"/>
      <c r="D38" s="8"/>
      <c r="E38" s="8"/>
      <c r="F38" s="31">
        <f t="shared" si="0"/>
        <v>0</v>
      </c>
      <c r="G38" s="9"/>
      <c r="H38" s="71"/>
      <c r="I38" s="67">
        <f t="shared" si="4"/>
        <v>0</v>
      </c>
      <c r="J38" s="32" t="e">
        <f t="shared" si="1"/>
        <v>#DIV/0!</v>
      </c>
      <c r="K38" s="80">
        <v>0.3</v>
      </c>
      <c r="L38" s="74" t="e">
        <f t="shared" si="2"/>
        <v>#DIV/0!</v>
      </c>
      <c r="M38" s="25"/>
      <c r="N38" s="76" t="e">
        <f t="shared" si="3"/>
        <v>#DIV/0!</v>
      </c>
      <c r="O38" s="90" t="s">
        <v>39</v>
      </c>
      <c r="P38" s="90"/>
      <c r="Q38" s="90"/>
      <c r="R38" s="90"/>
      <c r="S38"/>
      <c r="X38"/>
      <c r="Y38"/>
      <c r="Z38"/>
    </row>
    <row r="39" spans="1:26" ht="18.75" customHeight="1" thickTop="1" thickBot="1" x14ac:dyDescent="0.35">
      <c r="A39" s="9">
        <v>36</v>
      </c>
      <c r="B39" s="20"/>
      <c r="C39" s="8"/>
      <c r="D39" s="8"/>
      <c r="E39" s="8"/>
      <c r="F39" s="31">
        <f t="shared" si="0"/>
        <v>0</v>
      </c>
      <c r="G39" s="9"/>
      <c r="H39" s="72"/>
      <c r="I39" s="67">
        <f t="shared" si="4"/>
        <v>0</v>
      </c>
      <c r="J39" s="32" t="e">
        <f t="shared" si="1"/>
        <v>#DIV/0!</v>
      </c>
      <c r="K39" s="80">
        <v>0.3</v>
      </c>
      <c r="L39" s="74" t="e">
        <f t="shared" si="2"/>
        <v>#DIV/0!</v>
      </c>
      <c r="M39" s="25"/>
      <c r="N39" s="76" t="e">
        <f t="shared" si="3"/>
        <v>#DIV/0!</v>
      </c>
      <c r="O39" s="90" t="s">
        <v>19</v>
      </c>
      <c r="P39" s="90"/>
      <c r="Q39" s="90"/>
      <c r="R39" s="90"/>
      <c r="S39"/>
      <c r="X39"/>
      <c r="Y39"/>
      <c r="Z39"/>
    </row>
    <row r="40" spans="1:26" ht="18.75" customHeight="1" thickTop="1" thickBot="1" x14ac:dyDescent="0.35">
      <c r="A40" s="9">
        <v>37</v>
      </c>
      <c r="B40" s="20"/>
      <c r="C40" s="8"/>
      <c r="D40" s="8"/>
      <c r="E40" s="8"/>
      <c r="F40" s="31">
        <f t="shared" si="0"/>
        <v>0</v>
      </c>
      <c r="G40" s="9"/>
      <c r="H40" s="72"/>
      <c r="I40" s="67">
        <f t="shared" si="4"/>
        <v>0</v>
      </c>
      <c r="J40" s="32" t="e">
        <f t="shared" si="1"/>
        <v>#DIV/0!</v>
      </c>
      <c r="K40" s="80">
        <v>0.3</v>
      </c>
      <c r="L40" s="74" t="e">
        <f t="shared" si="2"/>
        <v>#DIV/0!</v>
      </c>
      <c r="M40" s="25"/>
      <c r="N40" s="76" t="e">
        <f t="shared" si="3"/>
        <v>#DIV/0!</v>
      </c>
      <c r="O40" s="90" t="s">
        <v>41</v>
      </c>
      <c r="P40" s="90"/>
      <c r="Q40" s="90"/>
      <c r="R40" s="90"/>
      <c r="S40"/>
      <c r="X40"/>
      <c r="Y40"/>
      <c r="Z40"/>
    </row>
    <row r="41" spans="1:26" ht="18.75" customHeight="1" thickTop="1" thickBot="1" x14ac:dyDescent="0.35">
      <c r="A41" s="9">
        <v>38</v>
      </c>
      <c r="B41" s="20"/>
      <c r="C41" s="3"/>
      <c r="D41" s="8"/>
      <c r="E41" s="8"/>
      <c r="F41" s="31">
        <f t="shared" si="0"/>
        <v>0</v>
      </c>
      <c r="G41" s="9"/>
      <c r="H41" s="72"/>
      <c r="I41" s="67">
        <f t="shared" si="4"/>
        <v>0</v>
      </c>
      <c r="J41" s="32" t="e">
        <f t="shared" si="1"/>
        <v>#DIV/0!</v>
      </c>
      <c r="K41" s="80">
        <v>0.3</v>
      </c>
      <c r="L41" s="74" t="e">
        <f t="shared" si="2"/>
        <v>#DIV/0!</v>
      </c>
      <c r="M41" s="25"/>
      <c r="N41" s="76" t="e">
        <f t="shared" si="3"/>
        <v>#DIV/0!</v>
      </c>
      <c r="O41" s="90" t="s">
        <v>42</v>
      </c>
      <c r="P41" s="90"/>
      <c r="Q41" s="90"/>
      <c r="R41" s="90"/>
      <c r="S41"/>
      <c r="X41"/>
      <c r="Y41"/>
      <c r="Z41"/>
    </row>
    <row r="42" spans="1:26" ht="18.75" customHeight="1" thickTop="1" thickBot="1" x14ac:dyDescent="0.35">
      <c r="A42" s="9">
        <v>39</v>
      </c>
      <c r="B42" s="20"/>
      <c r="C42" s="8"/>
      <c r="D42" s="8"/>
      <c r="E42" s="8"/>
      <c r="F42" s="31">
        <f t="shared" si="0"/>
        <v>0</v>
      </c>
      <c r="G42" s="9"/>
      <c r="H42" s="72"/>
      <c r="I42" s="67">
        <f t="shared" si="4"/>
        <v>0</v>
      </c>
      <c r="J42" s="32" t="e">
        <f t="shared" si="1"/>
        <v>#DIV/0!</v>
      </c>
      <c r="K42" s="80">
        <v>0.3</v>
      </c>
      <c r="L42" s="74" t="e">
        <f t="shared" si="2"/>
        <v>#DIV/0!</v>
      </c>
      <c r="M42" s="25"/>
      <c r="N42" s="76" t="e">
        <f t="shared" si="3"/>
        <v>#DIV/0!</v>
      </c>
      <c r="O42" s="90" t="s">
        <v>43</v>
      </c>
      <c r="P42" s="90"/>
      <c r="Q42" s="90"/>
      <c r="R42" s="90"/>
      <c r="S42"/>
      <c r="X42"/>
      <c r="Y42"/>
      <c r="Z42"/>
    </row>
    <row r="43" spans="1:26" ht="18.75" customHeight="1" thickTop="1" thickBot="1" x14ac:dyDescent="0.35">
      <c r="A43" s="9">
        <v>40</v>
      </c>
      <c r="B43" s="20"/>
      <c r="C43" s="8"/>
      <c r="D43" s="8"/>
      <c r="E43" s="8"/>
      <c r="F43" s="31">
        <f t="shared" si="0"/>
        <v>0</v>
      </c>
      <c r="G43" s="9"/>
      <c r="H43" s="72"/>
      <c r="I43" s="67">
        <f t="shared" si="4"/>
        <v>0</v>
      </c>
      <c r="J43" s="32" t="e">
        <f t="shared" si="1"/>
        <v>#DIV/0!</v>
      </c>
      <c r="K43" s="80">
        <v>0.3</v>
      </c>
      <c r="L43" s="74" t="e">
        <f t="shared" si="2"/>
        <v>#DIV/0!</v>
      </c>
      <c r="M43" s="25"/>
      <c r="N43" s="76" t="e">
        <f t="shared" si="3"/>
        <v>#DIV/0!</v>
      </c>
      <c r="O43" s="90" t="s">
        <v>44</v>
      </c>
      <c r="P43" s="90"/>
      <c r="Q43" s="90"/>
      <c r="R43" s="90"/>
      <c r="S43"/>
      <c r="X43"/>
      <c r="Y43"/>
      <c r="Z43"/>
    </row>
    <row r="44" spans="1:26" ht="18.75" customHeight="1" thickTop="1" thickBot="1" x14ac:dyDescent="0.35">
      <c r="A44" s="9">
        <v>41</v>
      </c>
      <c r="B44" s="20"/>
      <c r="C44" s="8"/>
      <c r="D44" s="8"/>
      <c r="E44" s="8"/>
      <c r="F44" s="31">
        <f t="shared" si="0"/>
        <v>0</v>
      </c>
      <c r="G44" s="9"/>
      <c r="H44" s="72"/>
      <c r="I44" s="67">
        <f t="shared" si="4"/>
        <v>0</v>
      </c>
      <c r="J44" s="32" t="e">
        <f t="shared" si="1"/>
        <v>#DIV/0!</v>
      </c>
      <c r="K44" s="80">
        <v>0.3</v>
      </c>
      <c r="L44" s="74" t="e">
        <f t="shared" si="2"/>
        <v>#DIV/0!</v>
      </c>
      <c r="M44" s="25"/>
      <c r="N44" s="76" t="e">
        <f t="shared" si="3"/>
        <v>#DIV/0!</v>
      </c>
      <c r="O44" s="90" t="s">
        <v>45</v>
      </c>
      <c r="P44" s="90"/>
      <c r="Q44" s="90"/>
      <c r="R44" s="90"/>
      <c r="S44"/>
    </row>
    <row r="45" spans="1:26" ht="18.75" customHeight="1" thickTop="1" thickBot="1" x14ac:dyDescent="0.35">
      <c r="A45" s="9">
        <v>42</v>
      </c>
      <c r="B45" s="20"/>
      <c r="C45" s="8"/>
      <c r="D45" s="8"/>
      <c r="E45" s="8"/>
      <c r="F45" s="31">
        <f t="shared" si="0"/>
        <v>0</v>
      </c>
      <c r="G45" s="9"/>
      <c r="H45" s="72"/>
      <c r="I45" s="67">
        <f t="shared" si="4"/>
        <v>0</v>
      </c>
      <c r="J45" s="32" t="e">
        <f t="shared" si="1"/>
        <v>#DIV/0!</v>
      </c>
      <c r="K45" s="80">
        <v>0.3</v>
      </c>
      <c r="L45" s="74" t="e">
        <f t="shared" si="2"/>
        <v>#DIV/0!</v>
      </c>
      <c r="M45" s="25"/>
      <c r="N45" s="76" t="e">
        <f t="shared" si="3"/>
        <v>#DIV/0!</v>
      </c>
      <c r="O45" s="90" t="s">
        <v>46</v>
      </c>
      <c r="P45" s="90"/>
      <c r="Q45" s="90"/>
      <c r="R45" s="90"/>
      <c r="S45"/>
    </row>
    <row r="46" spans="1:26" ht="17.25" thickTop="1" x14ac:dyDescent="0.3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87"/>
      <c r="B48" s="7"/>
      <c r="C48" s="7"/>
      <c r="D48" s="7"/>
      <c r="E48" s="87"/>
      <c r="F48" s="8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87"/>
      <c r="B49" s="7"/>
      <c r="C49" s="7"/>
      <c r="D49" s="7"/>
      <c r="E49" s="87"/>
      <c r="F49" s="8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87"/>
      <c r="B53" s="87"/>
      <c r="C53" s="87"/>
      <c r="D53" s="87"/>
      <c r="E53" s="87"/>
      <c r="F53" s="8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87"/>
      <c r="B54" s="87"/>
      <c r="C54" s="7"/>
      <c r="D54" s="7"/>
      <c r="E54" s="87"/>
      <c r="F54" s="8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87"/>
      <c r="B55" s="7"/>
      <c r="C55" s="7"/>
      <c r="D55" s="7"/>
      <c r="E55" s="87"/>
      <c r="F55" s="87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87"/>
      <c r="B57" s="8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1:H2"/>
    <mergeCell ref="O3:R3"/>
    <mergeCell ref="O28:Q28"/>
    <mergeCell ref="O29:Q29"/>
    <mergeCell ref="O30:Q30"/>
    <mergeCell ref="U31:W31"/>
    <mergeCell ref="U32:W32"/>
    <mergeCell ref="O33:Q34"/>
    <mergeCell ref="R33:R34"/>
    <mergeCell ref="U33:W33"/>
    <mergeCell ref="U34:W34"/>
    <mergeCell ref="O31:Q32"/>
    <mergeCell ref="R31:R32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</mergeCells>
  <phoneticPr fontId="26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A5C-14A5-4D68-83C7-10B0DCF48227}">
  <sheetPr>
    <pageSetUpPr fitToPage="1"/>
  </sheetPr>
  <dimension ref="A1:Z58"/>
  <sheetViews>
    <sheetView topLeftCell="E1" zoomScale="85" zoomScaleNormal="85" workbookViewId="0">
      <selection activeCell="K15" sqref="K15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4" t="s">
        <v>32</v>
      </c>
      <c r="B1" s="94"/>
      <c r="C1" s="94"/>
      <c r="D1" s="94"/>
      <c r="E1" s="94"/>
      <c r="F1" s="94"/>
      <c r="G1" s="94"/>
      <c r="H1" s="94"/>
      <c r="I1" s="40" t="s">
        <v>26</v>
      </c>
      <c r="J1" s="98" t="s">
        <v>127</v>
      </c>
      <c r="K1" s="39" t="s">
        <v>4</v>
      </c>
      <c r="L1" s="39" t="s">
        <v>2</v>
      </c>
      <c r="M1" s="39" t="s">
        <v>12</v>
      </c>
      <c r="N1" s="44" t="s">
        <v>28</v>
      </c>
      <c r="O1" s="44" t="s">
        <v>30</v>
      </c>
      <c r="P1" s="45" t="s">
        <v>31</v>
      </c>
      <c r="Q1" s="77" t="s">
        <v>35</v>
      </c>
      <c r="R1" s="44" t="s">
        <v>34</v>
      </c>
    </row>
    <row r="2" spans="1:25" ht="21.75" customHeight="1" thickTop="1" thickBot="1" x14ac:dyDescent="0.35">
      <c r="A2" s="95"/>
      <c r="B2" s="95"/>
      <c r="C2" s="95"/>
      <c r="D2" s="95"/>
      <c r="E2" s="95"/>
      <c r="F2" s="95"/>
      <c r="G2" s="95"/>
      <c r="H2" s="95"/>
      <c r="I2" s="40" t="s">
        <v>27</v>
      </c>
      <c r="J2" s="98" t="s">
        <v>106</v>
      </c>
      <c r="K2" s="46">
        <f>COUNTA(B4:B45)</f>
        <v>8</v>
      </c>
      <c r="L2" s="46">
        <f>COUNTIFS(C4:C45,"남")</f>
        <v>2</v>
      </c>
      <c r="M2" s="46">
        <f>COUNTIFS(C4:C45,"여")</f>
        <v>6</v>
      </c>
      <c r="N2" s="47">
        <f>AVERAGEIF(J4:J44,"&gt;0",J4:J44)</f>
        <v>39999.999999999993</v>
      </c>
      <c r="O2" s="48">
        <f>SUM(M4:M45)</f>
        <v>5</v>
      </c>
      <c r="P2" s="49">
        <f>SUM(F4:F45)</f>
        <v>55</v>
      </c>
      <c r="Q2" s="78">
        <f>SUM(Q5:Q27)</f>
        <v>0</v>
      </c>
      <c r="R2" s="78">
        <f>SUM(R5:R27)</f>
        <v>0</v>
      </c>
    </row>
    <row r="3" spans="1:25" ht="30" thickTop="1" thickBot="1" x14ac:dyDescent="0.35">
      <c r="A3" s="39" t="s">
        <v>0</v>
      </c>
      <c r="B3" s="40" t="s">
        <v>3</v>
      </c>
      <c r="C3" s="39" t="s">
        <v>1</v>
      </c>
      <c r="D3" s="39" t="s">
        <v>21</v>
      </c>
      <c r="E3" s="40" t="s">
        <v>38</v>
      </c>
      <c r="F3" s="40" t="s">
        <v>5</v>
      </c>
      <c r="G3" s="40" t="s">
        <v>33</v>
      </c>
      <c r="H3" s="40" t="s">
        <v>15</v>
      </c>
      <c r="I3" s="41" t="s">
        <v>22</v>
      </c>
      <c r="J3" s="41" t="s">
        <v>11</v>
      </c>
      <c r="K3" s="42" t="s">
        <v>13</v>
      </c>
      <c r="L3" s="41" t="s">
        <v>14</v>
      </c>
      <c r="M3" s="41" t="s">
        <v>20</v>
      </c>
      <c r="N3" s="41" t="s">
        <v>14</v>
      </c>
      <c r="O3" s="96" t="s">
        <v>6</v>
      </c>
      <c r="P3" s="96"/>
      <c r="Q3" s="96"/>
      <c r="R3" s="96"/>
    </row>
    <row r="4" spans="1:25" ht="18.75" customHeight="1" thickTop="1" thickBot="1" x14ac:dyDescent="0.35">
      <c r="A4" s="33">
        <v>1</v>
      </c>
      <c r="B4" s="83" t="s">
        <v>97</v>
      </c>
      <c r="C4" s="34" t="s">
        <v>12</v>
      </c>
      <c r="D4" s="35">
        <v>5</v>
      </c>
      <c r="E4" s="35">
        <v>2</v>
      </c>
      <c r="F4" s="36">
        <f t="shared" ref="F4:F45" si="0">D4-E4</f>
        <v>3</v>
      </c>
      <c r="G4" s="33"/>
      <c r="H4" s="69">
        <v>220000</v>
      </c>
      <c r="I4" s="67">
        <f>IF(G4="현금",H4,H4/1.1)</f>
        <v>199999.99999999997</v>
      </c>
      <c r="J4" s="37">
        <f t="shared" ref="J4:J45" si="1">I4/D4</f>
        <v>39999.999999999993</v>
      </c>
      <c r="K4" s="79">
        <v>0.5</v>
      </c>
      <c r="L4" s="73">
        <f t="shared" ref="L4:L45" si="2">PRODUCT(K4,J4)</f>
        <v>19999.999999999996</v>
      </c>
      <c r="M4" s="38">
        <v>2</v>
      </c>
      <c r="N4" s="75">
        <f t="shared" ref="N4:N45" si="3">PRODUCT(M4,L4)</f>
        <v>39999.999999999993</v>
      </c>
      <c r="O4" s="50" t="s">
        <v>7</v>
      </c>
      <c r="P4" s="50" t="s">
        <v>10</v>
      </c>
      <c r="Q4" s="50" t="s">
        <v>8</v>
      </c>
      <c r="R4" s="51" t="s">
        <v>9</v>
      </c>
      <c r="Y4" s="4"/>
    </row>
    <row r="5" spans="1:25" ht="18.75" customHeight="1" thickTop="1" thickBot="1" x14ac:dyDescent="0.35">
      <c r="A5" s="9">
        <v>2</v>
      </c>
      <c r="B5" s="84" t="s">
        <v>98</v>
      </c>
      <c r="C5" s="6" t="s">
        <v>12</v>
      </c>
      <c r="D5" s="5">
        <v>10</v>
      </c>
      <c r="E5" s="5">
        <v>2</v>
      </c>
      <c r="F5" s="31">
        <f t="shared" si="0"/>
        <v>8</v>
      </c>
      <c r="G5" s="9"/>
      <c r="H5" s="70">
        <v>440000</v>
      </c>
      <c r="I5" s="67">
        <f t="shared" ref="I5:I45" si="4">IF(G5="현금",H5,H5/1.1)</f>
        <v>399999.99999999994</v>
      </c>
      <c r="J5" s="32">
        <f t="shared" si="1"/>
        <v>39999.999999999993</v>
      </c>
      <c r="K5" s="79">
        <v>0.5</v>
      </c>
      <c r="L5" s="74">
        <f t="shared" si="2"/>
        <v>19999.999999999996</v>
      </c>
      <c r="M5" s="21">
        <v>2</v>
      </c>
      <c r="N5" s="76">
        <f t="shared" si="3"/>
        <v>39999.999999999993</v>
      </c>
      <c r="O5" s="52"/>
      <c r="P5" s="53"/>
      <c r="Q5" s="54"/>
      <c r="R5" s="67">
        <f>IF(P5="현금",Q5,Q5/1.1)</f>
        <v>0</v>
      </c>
      <c r="Y5" s="4"/>
    </row>
    <row r="6" spans="1:25" ht="18.75" customHeight="1" thickTop="1" thickBot="1" x14ac:dyDescent="0.35">
      <c r="A6" s="9">
        <v>3</v>
      </c>
      <c r="B6" s="84" t="s">
        <v>95</v>
      </c>
      <c r="C6" s="6" t="s">
        <v>12</v>
      </c>
      <c r="D6" s="5">
        <v>5</v>
      </c>
      <c r="E6" s="5">
        <v>1</v>
      </c>
      <c r="F6" s="31">
        <f t="shared" si="0"/>
        <v>4</v>
      </c>
      <c r="G6" s="9"/>
      <c r="H6" s="70">
        <v>220000</v>
      </c>
      <c r="I6" s="67">
        <f t="shared" si="4"/>
        <v>199999.99999999997</v>
      </c>
      <c r="J6" s="32">
        <f t="shared" si="1"/>
        <v>39999.999999999993</v>
      </c>
      <c r="K6" s="79">
        <v>0.5</v>
      </c>
      <c r="L6" s="74">
        <f t="shared" si="2"/>
        <v>19999.999999999996</v>
      </c>
      <c r="M6" s="21">
        <v>1</v>
      </c>
      <c r="N6" s="76">
        <f t="shared" si="3"/>
        <v>19999.999999999996</v>
      </c>
      <c r="O6" s="55"/>
      <c r="P6" s="56"/>
      <c r="Q6" s="54"/>
      <c r="R6" s="67">
        <f t="shared" ref="R6:R27" si="5">IF(P6="현금",Q6,Q6/1.1)</f>
        <v>0</v>
      </c>
      <c r="Y6" s="4"/>
    </row>
    <row r="7" spans="1:25" ht="18.75" customHeight="1" thickTop="1" thickBot="1" x14ac:dyDescent="0.35">
      <c r="A7" s="9">
        <v>4</v>
      </c>
      <c r="B7" s="84" t="s">
        <v>96</v>
      </c>
      <c r="C7" s="6" t="s">
        <v>12</v>
      </c>
      <c r="D7" s="5">
        <v>10</v>
      </c>
      <c r="E7" s="5">
        <v>0</v>
      </c>
      <c r="F7" s="31">
        <f t="shared" si="0"/>
        <v>10</v>
      </c>
      <c r="G7" s="9"/>
      <c r="H7" s="70">
        <v>440000</v>
      </c>
      <c r="I7" s="67">
        <f t="shared" si="4"/>
        <v>399999.99999999994</v>
      </c>
      <c r="J7" s="32">
        <f t="shared" si="1"/>
        <v>39999.999999999993</v>
      </c>
      <c r="K7" s="79">
        <v>0.5</v>
      </c>
      <c r="L7" s="74">
        <f t="shared" si="2"/>
        <v>19999.999999999996</v>
      </c>
      <c r="M7" s="21"/>
      <c r="N7" s="76">
        <f t="shared" si="3"/>
        <v>19999.999999999996</v>
      </c>
      <c r="O7" s="57"/>
      <c r="P7" s="58"/>
      <c r="Q7" s="54"/>
      <c r="R7" s="67">
        <f t="shared" si="5"/>
        <v>0</v>
      </c>
      <c r="Y7" s="4"/>
    </row>
    <row r="8" spans="1:25" ht="18.75" customHeight="1" thickTop="1" thickBot="1" x14ac:dyDescent="0.35">
      <c r="A8" s="9">
        <v>5</v>
      </c>
      <c r="B8" s="84" t="s">
        <v>99</v>
      </c>
      <c r="C8" s="6" t="s">
        <v>12</v>
      </c>
      <c r="D8" s="5">
        <v>10</v>
      </c>
      <c r="E8" s="5">
        <v>0</v>
      </c>
      <c r="F8" s="31">
        <f t="shared" si="0"/>
        <v>10</v>
      </c>
      <c r="G8" s="9"/>
      <c r="H8" s="70">
        <v>440000</v>
      </c>
      <c r="I8" s="67">
        <f t="shared" si="4"/>
        <v>399999.99999999994</v>
      </c>
      <c r="J8" s="32">
        <f t="shared" si="1"/>
        <v>39999.999999999993</v>
      </c>
      <c r="K8" s="79">
        <v>0.5</v>
      </c>
      <c r="L8" s="74">
        <f t="shared" si="2"/>
        <v>19999.999999999996</v>
      </c>
      <c r="M8" s="21"/>
      <c r="N8" s="76">
        <f t="shared" si="3"/>
        <v>19999.999999999996</v>
      </c>
      <c r="O8" s="59"/>
      <c r="P8" s="58"/>
      <c r="Q8" s="54"/>
      <c r="R8" s="67">
        <f t="shared" si="5"/>
        <v>0</v>
      </c>
      <c r="Y8" s="4"/>
    </row>
    <row r="9" spans="1:25" ht="18.75" customHeight="1" thickTop="1" thickBot="1" x14ac:dyDescent="0.35">
      <c r="A9" s="9">
        <v>6</v>
      </c>
      <c r="B9" s="84" t="s">
        <v>102</v>
      </c>
      <c r="C9" s="6" t="s">
        <v>12</v>
      </c>
      <c r="D9" s="5">
        <v>5</v>
      </c>
      <c r="E9" s="5">
        <v>0</v>
      </c>
      <c r="F9" s="31">
        <f t="shared" si="0"/>
        <v>5</v>
      </c>
      <c r="G9" s="9"/>
      <c r="H9" s="70">
        <v>220000</v>
      </c>
      <c r="I9" s="67">
        <f t="shared" si="4"/>
        <v>199999.99999999997</v>
      </c>
      <c r="J9" s="32">
        <f t="shared" si="1"/>
        <v>39999.999999999993</v>
      </c>
      <c r="K9" s="79">
        <v>0.5</v>
      </c>
      <c r="L9" s="74">
        <f t="shared" si="2"/>
        <v>19999.999999999996</v>
      </c>
      <c r="M9" s="21"/>
      <c r="N9" s="76">
        <f t="shared" si="3"/>
        <v>19999.999999999996</v>
      </c>
      <c r="O9" s="57"/>
      <c r="P9" s="58"/>
      <c r="Q9" s="54"/>
      <c r="R9" s="67">
        <f t="shared" si="5"/>
        <v>0</v>
      </c>
      <c r="Y9" s="4"/>
    </row>
    <row r="10" spans="1:25" ht="18.75" customHeight="1" thickTop="1" thickBot="1" x14ac:dyDescent="0.35">
      <c r="A10" s="9">
        <v>7</v>
      </c>
      <c r="B10" s="84" t="s">
        <v>101</v>
      </c>
      <c r="C10" s="6" t="s">
        <v>50</v>
      </c>
      <c r="D10" s="5">
        <v>5</v>
      </c>
      <c r="E10" s="5">
        <v>0</v>
      </c>
      <c r="F10" s="31">
        <f t="shared" si="0"/>
        <v>5</v>
      </c>
      <c r="G10" s="9"/>
      <c r="H10" s="70">
        <v>220000</v>
      </c>
      <c r="I10" s="67">
        <f t="shared" si="4"/>
        <v>199999.99999999997</v>
      </c>
      <c r="J10" s="32">
        <f t="shared" si="1"/>
        <v>39999.999999999993</v>
      </c>
      <c r="K10" s="79">
        <v>0.5</v>
      </c>
      <c r="L10" s="74">
        <f t="shared" si="2"/>
        <v>19999.999999999996</v>
      </c>
      <c r="M10" s="21"/>
      <c r="N10" s="76">
        <f t="shared" si="3"/>
        <v>19999.999999999996</v>
      </c>
      <c r="O10" s="60"/>
      <c r="P10" s="61"/>
      <c r="Q10" s="54"/>
      <c r="R10" s="67">
        <f t="shared" si="5"/>
        <v>0</v>
      </c>
      <c r="Y10" s="4"/>
    </row>
    <row r="11" spans="1:25" ht="18.75" customHeight="1" thickTop="1" thickBot="1" x14ac:dyDescent="0.35">
      <c r="A11" s="9">
        <v>8</v>
      </c>
      <c r="B11" s="84" t="s">
        <v>100</v>
      </c>
      <c r="C11" s="6" t="s">
        <v>50</v>
      </c>
      <c r="D11" s="5">
        <v>10</v>
      </c>
      <c r="E11" s="5">
        <v>0</v>
      </c>
      <c r="F11" s="31">
        <f t="shared" si="0"/>
        <v>10</v>
      </c>
      <c r="G11" s="9"/>
      <c r="H11" s="70">
        <v>440000</v>
      </c>
      <c r="I11" s="67">
        <f t="shared" si="4"/>
        <v>399999.99999999994</v>
      </c>
      <c r="J11" s="32">
        <f t="shared" si="1"/>
        <v>39999.999999999993</v>
      </c>
      <c r="K11" s="79">
        <v>0.5</v>
      </c>
      <c r="L11" s="74">
        <f t="shared" si="2"/>
        <v>19999.999999999996</v>
      </c>
      <c r="M11" s="21"/>
      <c r="N11" s="76">
        <f t="shared" si="3"/>
        <v>19999.999999999996</v>
      </c>
      <c r="O11" s="60"/>
      <c r="P11" s="61"/>
      <c r="Q11" s="62"/>
      <c r="R11" s="67">
        <f t="shared" si="5"/>
        <v>0</v>
      </c>
      <c r="Y11" s="4"/>
    </row>
    <row r="12" spans="1:25" ht="18.75" customHeight="1" thickTop="1" thickBot="1" x14ac:dyDescent="0.35">
      <c r="A12" s="9">
        <v>9</v>
      </c>
      <c r="B12" s="18"/>
      <c r="C12" s="6"/>
      <c r="D12" s="5"/>
      <c r="E12" s="5"/>
      <c r="F12" s="31">
        <f t="shared" si="0"/>
        <v>0</v>
      </c>
      <c r="G12" s="9"/>
      <c r="H12" s="70"/>
      <c r="I12" s="67">
        <f t="shared" si="4"/>
        <v>0</v>
      </c>
      <c r="J12" s="32" t="e">
        <f t="shared" si="1"/>
        <v>#DIV/0!</v>
      </c>
      <c r="K12" s="80">
        <v>0.3</v>
      </c>
      <c r="L12" s="74" t="e">
        <f t="shared" si="2"/>
        <v>#DIV/0!</v>
      </c>
      <c r="M12" s="21"/>
      <c r="N12" s="76" t="e">
        <f t="shared" si="3"/>
        <v>#DIV/0!</v>
      </c>
      <c r="O12" s="60"/>
      <c r="P12" s="60"/>
      <c r="Q12" s="61"/>
      <c r="R12" s="67">
        <f t="shared" si="5"/>
        <v>0</v>
      </c>
      <c r="Y12" s="4"/>
    </row>
    <row r="13" spans="1:25" ht="18.75" customHeight="1" thickTop="1" thickBot="1" x14ac:dyDescent="0.35">
      <c r="A13" s="9">
        <v>10</v>
      </c>
      <c r="B13" s="18"/>
      <c r="C13" s="6"/>
      <c r="D13" s="5"/>
      <c r="E13" s="5"/>
      <c r="F13" s="31">
        <f t="shared" si="0"/>
        <v>0</v>
      </c>
      <c r="G13" s="9"/>
      <c r="H13" s="70"/>
      <c r="I13" s="67">
        <f t="shared" si="4"/>
        <v>0</v>
      </c>
      <c r="J13" s="32" t="e">
        <f t="shared" si="1"/>
        <v>#DIV/0!</v>
      </c>
      <c r="K13" s="80">
        <v>0.3</v>
      </c>
      <c r="L13" s="74" t="e">
        <f t="shared" si="2"/>
        <v>#DIV/0!</v>
      </c>
      <c r="M13" s="21"/>
      <c r="N13" s="76" t="e">
        <f t="shared" si="3"/>
        <v>#DIV/0!</v>
      </c>
      <c r="O13" s="60"/>
      <c r="P13" s="60"/>
      <c r="Q13" s="61"/>
      <c r="R13" s="67">
        <f t="shared" si="5"/>
        <v>0</v>
      </c>
      <c r="S13" s="26"/>
      <c r="U13" s="27"/>
      <c r="V13" s="27"/>
      <c r="Y13" s="4"/>
    </row>
    <row r="14" spans="1:25" ht="18.75" customHeight="1" thickTop="1" thickBot="1" x14ac:dyDescent="0.35">
      <c r="A14" s="9">
        <v>11</v>
      </c>
      <c r="B14" s="18"/>
      <c r="C14" s="6"/>
      <c r="D14" s="5"/>
      <c r="E14" s="5"/>
      <c r="F14" s="31">
        <f t="shared" si="0"/>
        <v>0</v>
      </c>
      <c r="G14" s="9"/>
      <c r="H14" s="70"/>
      <c r="I14" s="67">
        <f t="shared" si="4"/>
        <v>0</v>
      </c>
      <c r="J14" s="32" t="e">
        <f t="shared" si="1"/>
        <v>#DIV/0!</v>
      </c>
      <c r="K14" s="80">
        <v>0.3</v>
      </c>
      <c r="L14" s="74" t="e">
        <f t="shared" si="2"/>
        <v>#DIV/0!</v>
      </c>
      <c r="M14" s="21"/>
      <c r="N14" s="76" t="e">
        <f t="shared" si="3"/>
        <v>#DIV/0!</v>
      </c>
      <c r="O14" s="60"/>
      <c r="P14" s="60"/>
      <c r="Q14" s="61"/>
      <c r="R14" s="67">
        <f t="shared" si="5"/>
        <v>0</v>
      </c>
      <c r="S14" s="26"/>
      <c r="U14" s="27"/>
      <c r="Y14" s="4"/>
    </row>
    <row r="15" spans="1:25" ht="18.75" customHeight="1" thickTop="1" thickBot="1" x14ac:dyDescent="0.35">
      <c r="A15" s="9">
        <v>12</v>
      </c>
      <c r="B15" s="19"/>
      <c r="C15" s="6"/>
      <c r="D15" s="5"/>
      <c r="E15" s="5"/>
      <c r="F15" s="31">
        <f t="shared" si="0"/>
        <v>0</v>
      </c>
      <c r="G15" s="9"/>
      <c r="H15" s="70"/>
      <c r="I15" s="67">
        <f t="shared" si="4"/>
        <v>0</v>
      </c>
      <c r="J15" s="32" t="e">
        <f t="shared" si="1"/>
        <v>#DIV/0!</v>
      </c>
      <c r="K15" s="80">
        <v>0.3</v>
      </c>
      <c r="L15" s="74" t="e">
        <f t="shared" si="2"/>
        <v>#DIV/0!</v>
      </c>
      <c r="M15" s="21"/>
      <c r="N15" s="76" t="e">
        <f t="shared" si="3"/>
        <v>#DIV/0!</v>
      </c>
      <c r="O15" s="60"/>
      <c r="P15" s="60"/>
      <c r="Q15" s="61"/>
      <c r="R15" s="67">
        <f t="shared" si="5"/>
        <v>0</v>
      </c>
      <c r="S15" s="26"/>
      <c r="U15" s="27"/>
      <c r="V15" s="27"/>
      <c r="Y15" s="4"/>
    </row>
    <row r="16" spans="1:25" ht="18.75" customHeight="1" thickTop="1" thickBot="1" x14ac:dyDescent="0.35">
      <c r="A16" s="9">
        <v>13</v>
      </c>
      <c r="B16" s="19"/>
      <c r="C16" s="6"/>
      <c r="D16" s="5"/>
      <c r="E16" s="5"/>
      <c r="F16" s="31">
        <f t="shared" si="0"/>
        <v>0</v>
      </c>
      <c r="G16" s="9"/>
      <c r="H16" s="70"/>
      <c r="I16" s="67">
        <f t="shared" si="4"/>
        <v>0</v>
      </c>
      <c r="J16" s="32" t="e">
        <f t="shared" si="1"/>
        <v>#DIV/0!</v>
      </c>
      <c r="K16" s="80">
        <v>0.3</v>
      </c>
      <c r="L16" s="74" t="e">
        <f t="shared" si="2"/>
        <v>#DIV/0!</v>
      </c>
      <c r="M16" s="21"/>
      <c r="N16" s="76" t="e">
        <f t="shared" si="3"/>
        <v>#DIV/0!</v>
      </c>
      <c r="O16" s="60"/>
      <c r="P16" s="60"/>
      <c r="Q16" s="61"/>
      <c r="R16" s="67">
        <f t="shared" si="5"/>
        <v>0</v>
      </c>
      <c r="S16" s="26"/>
      <c r="U16" s="27"/>
      <c r="Y16" s="4"/>
    </row>
    <row r="17" spans="1:25" ht="18.75" customHeight="1" thickTop="1" thickBot="1" x14ac:dyDescent="0.35">
      <c r="A17" s="9">
        <v>14</v>
      </c>
      <c r="B17" s="19"/>
      <c r="C17" s="6"/>
      <c r="D17" s="5"/>
      <c r="E17" s="5"/>
      <c r="F17" s="31">
        <f t="shared" si="0"/>
        <v>0</v>
      </c>
      <c r="G17" s="9"/>
      <c r="H17" s="70"/>
      <c r="I17" s="67">
        <f t="shared" si="4"/>
        <v>0</v>
      </c>
      <c r="J17" s="32" t="e">
        <f t="shared" si="1"/>
        <v>#DIV/0!</v>
      </c>
      <c r="K17" s="80">
        <v>0.3</v>
      </c>
      <c r="L17" s="74" t="e">
        <f t="shared" si="2"/>
        <v>#DIV/0!</v>
      </c>
      <c r="M17" s="21"/>
      <c r="N17" s="76" t="e">
        <f t="shared" si="3"/>
        <v>#DIV/0!</v>
      </c>
      <c r="O17" s="60"/>
      <c r="P17" s="60"/>
      <c r="Q17" s="61"/>
      <c r="R17" s="67">
        <f t="shared" si="5"/>
        <v>0</v>
      </c>
      <c r="S17" s="26"/>
      <c r="U17" s="27"/>
      <c r="V17" s="27"/>
      <c r="Y17" s="4"/>
    </row>
    <row r="18" spans="1:25" ht="18.75" customHeight="1" thickTop="1" thickBot="1" x14ac:dyDescent="0.35">
      <c r="A18" s="9">
        <v>15</v>
      </c>
      <c r="B18" s="16"/>
      <c r="C18" s="6"/>
      <c r="D18" s="5"/>
      <c r="E18" s="5"/>
      <c r="F18" s="31">
        <f t="shared" si="0"/>
        <v>0</v>
      </c>
      <c r="G18" s="9"/>
      <c r="H18" s="70"/>
      <c r="I18" s="67">
        <f t="shared" si="4"/>
        <v>0</v>
      </c>
      <c r="J18" s="32" t="e">
        <f t="shared" si="1"/>
        <v>#DIV/0!</v>
      </c>
      <c r="K18" s="80">
        <v>0.3</v>
      </c>
      <c r="L18" s="74" t="e">
        <f t="shared" si="2"/>
        <v>#DIV/0!</v>
      </c>
      <c r="M18" s="21"/>
      <c r="N18" s="76" t="e">
        <f t="shared" si="3"/>
        <v>#DIV/0!</v>
      </c>
      <c r="O18" s="60"/>
      <c r="P18" s="60"/>
      <c r="Q18" s="61"/>
      <c r="R18" s="67">
        <f t="shared" si="5"/>
        <v>0</v>
      </c>
      <c r="S18" s="26"/>
      <c r="U18" s="27"/>
      <c r="V18" s="27"/>
      <c r="Y18" s="4"/>
    </row>
    <row r="19" spans="1:25" ht="18.75" customHeight="1" thickTop="1" thickBot="1" x14ac:dyDescent="0.35">
      <c r="A19" s="9">
        <v>16</v>
      </c>
      <c r="B19" s="17"/>
      <c r="C19" s="6"/>
      <c r="D19" s="5"/>
      <c r="E19" s="5"/>
      <c r="F19" s="31">
        <f t="shared" si="0"/>
        <v>0</v>
      </c>
      <c r="G19" s="9"/>
      <c r="H19" s="70"/>
      <c r="I19" s="67">
        <f t="shared" si="4"/>
        <v>0</v>
      </c>
      <c r="J19" s="32" t="e">
        <f t="shared" si="1"/>
        <v>#DIV/0!</v>
      </c>
      <c r="K19" s="80">
        <v>0.3</v>
      </c>
      <c r="L19" s="74" t="e">
        <f t="shared" si="2"/>
        <v>#DIV/0!</v>
      </c>
      <c r="M19" s="21"/>
      <c r="N19" s="76" t="e">
        <f t="shared" si="3"/>
        <v>#DIV/0!</v>
      </c>
      <c r="O19" s="60"/>
      <c r="P19" s="61"/>
      <c r="Q19" s="61"/>
      <c r="R19" s="67">
        <f t="shared" si="5"/>
        <v>0</v>
      </c>
      <c r="S19" s="26"/>
      <c r="U19" s="27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1">
        <f t="shared" si="0"/>
        <v>0</v>
      </c>
      <c r="G20" s="9"/>
      <c r="H20" s="70"/>
      <c r="I20" s="67">
        <f t="shared" si="4"/>
        <v>0</v>
      </c>
      <c r="J20" s="32" t="e">
        <f t="shared" si="1"/>
        <v>#DIV/0!</v>
      </c>
      <c r="K20" s="80">
        <v>0.3</v>
      </c>
      <c r="L20" s="74" t="e">
        <f t="shared" si="2"/>
        <v>#DIV/0!</v>
      </c>
      <c r="M20" s="21"/>
      <c r="N20" s="76" t="e">
        <f t="shared" si="3"/>
        <v>#DIV/0!</v>
      </c>
      <c r="O20" s="60"/>
      <c r="P20" s="61"/>
      <c r="Q20" s="61"/>
      <c r="R20" s="67">
        <f t="shared" si="5"/>
        <v>0</v>
      </c>
      <c r="S20" s="26"/>
      <c r="U20" s="27"/>
      <c r="V20" s="27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1">
        <f t="shared" si="0"/>
        <v>0</v>
      </c>
      <c r="G21" s="9"/>
      <c r="H21" s="70"/>
      <c r="I21" s="67">
        <f t="shared" si="4"/>
        <v>0</v>
      </c>
      <c r="J21" s="32" t="e">
        <f t="shared" si="1"/>
        <v>#DIV/0!</v>
      </c>
      <c r="K21" s="80">
        <v>0.3</v>
      </c>
      <c r="L21" s="74" t="e">
        <f t="shared" si="2"/>
        <v>#DIV/0!</v>
      </c>
      <c r="M21" s="21"/>
      <c r="N21" s="76" t="e">
        <f t="shared" si="3"/>
        <v>#DIV/0!</v>
      </c>
      <c r="O21" s="60"/>
      <c r="P21" s="61"/>
      <c r="Q21" s="61"/>
      <c r="R21" s="67">
        <f t="shared" si="5"/>
        <v>0</v>
      </c>
      <c r="S21" s="26"/>
      <c r="U21" s="27"/>
      <c r="V21" s="27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1">
        <f t="shared" si="0"/>
        <v>0</v>
      </c>
      <c r="G22" s="9"/>
      <c r="H22" s="70"/>
      <c r="I22" s="67">
        <f t="shared" si="4"/>
        <v>0</v>
      </c>
      <c r="J22" s="32" t="e">
        <f t="shared" si="1"/>
        <v>#DIV/0!</v>
      </c>
      <c r="K22" s="80">
        <v>0.3</v>
      </c>
      <c r="L22" s="74" t="e">
        <f t="shared" si="2"/>
        <v>#DIV/0!</v>
      </c>
      <c r="M22" s="21"/>
      <c r="N22" s="76" t="e">
        <f t="shared" si="3"/>
        <v>#DIV/0!</v>
      </c>
      <c r="O22" s="60"/>
      <c r="P22" s="61"/>
      <c r="Q22" s="61"/>
      <c r="R22" s="67">
        <f t="shared" si="5"/>
        <v>0</v>
      </c>
      <c r="S22" s="26"/>
      <c r="T22" s="28"/>
      <c r="U22" s="27"/>
      <c r="V22" s="27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1">
        <f t="shared" si="0"/>
        <v>0</v>
      </c>
      <c r="G23" s="9"/>
      <c r="H23" s="70"/>
      <c r="I23" s="67">
        <f t="shared" si="4"/>
        <v>0</v>
      </c>
      <c r="J23" s="32" t="e">
        <f t="shared" si="1"/>
        <v>#DIV/0!</v>
      </c>
      <c r="K23" s="80">
        <v>0.3</v>
      </c>
      <c r="L23" s="74" t="e">
        <f t="shared" si="2"/>
        <v>#DIV/0!</v>
      </c>
      <c r="M23" s="21"/>
      <c r="N23" s="76" t="e">
        <f t="shared" si="3"/>
        <v>#DIV/0!</v>
      </c>
      <c r="O23" s="63"/>
      <c r="P23" s="64"/>
      <c r="Q23" s="43"/>
      <c r="R23" s="67">
        <f t="shared" si="5"/>
        <v>0</v>
      </c>
      <c r="S23" s="26"/>
      <c r="T23" s="29"/>
      <c r="U23" s="27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1">
        <f t="shared" si="0"/>
        <v>0</v>
      </c>
      <c r="G24" s="9"/>
      <c r="H24" s="70"/>
      <c r="I24" s="67">
        <f t="shared" si="4"/>
        <v>0</v>
      </c>
      <c r="J24" s="32" t="e">
        <f t="shared" si="1"/>
        <v>#DIV/0!</v>
      </c>
      <c r="K24" s="80">
        <v>0.3</v>
      </c>
      <c r="L24" s="74" t="e">
        <f t="shared" si="2"/>
        <v>#DIV/0!</v>
      </c>
      <c r="M24" s="21"/>
      <c r="N24" s="76" t="e">
        <f t="shared" si="3"/>
        <v>#DIV/0!</v>
      </c>
      <c r="O24" s="65"/>
      <c r="P24" s="65"/>
      <c r="Q24" s="43"/>
      <c r="R24" s="67">
        <f t="shared" si="5"/>
        <v>0</v>
      </c>
      <c r="S24" s="26"/>
      <c r="T24" s="30"/>
      <c r="U24" s="27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1">
        <f t="shared" si="0"/>
        <v>0</v>
      </c>
      <c r="G25" s="9"/>
      <c r="H25" s="70"/>
      <c r="I25" s="67">
        <f t="shared" si="4"/>
        <v>0</v>
      </c>
      <c r="J25" s="32" t="e">
        <f t="shared" si="1"/>
        <v>#DIV/0!</v>
      </c>
      <c r="K25" s="80">
        <v>0.3</v>
      </c>
      <c r="L25" s="74" t="e">
        <f t="shared" si="2"/>
        <v>#DIV/0!</v>
      </c>
      <c r="M25" s="21"/>
      <c r="N25" s="76" t="e">
        <f t="shared" si="3"/>
        <v>#DIV/0!</v>
      </c>
      <c r="O25" s="65"/>
      <c r="P25" s="65"/>
      <c r="Q25" s="43"/>
      <c r="R25" s="67">
        <f t="shared" si="5"/>
        <v>0</v>
      </c>
      <c r="S25" s="26"/>
      <c r="T25" s="29"/>
      <c r="U25" s="27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1">
        <f t="shared" si="0"/>
        <v>0</v>
      </c>
      <c r="G26" s="9"/>
      <c r="H26" s="70"/>
      <c r="I26" s="67">
        <f t="shared" si="4"/>
        <v>0</v>
      </c>
      <c r="J26" s="32" t="e">
        <f t="shared" si="1"/>
        <v>#DIV/0!</v>
      </c>
      <c r="K26" s="80">
        <v>0.3</v>
      </c>
      <c r="L26" s="74" t="e">
        <f t="shared" si="2"/>
        <v>#DIV/0!</v>
      </c>
      <c r="M26" s="13"/>
      <c r="N26" s="76" t="e">
        <f t="shared" si="3"/>
        <v>#DIV/0!</v>
      </c>
      <c r="O26" s="65"/>
      <c r="P26" s="65"/>
      <c r="Q26" s="43"/>
      <c r="R26" s="67">
        <f t="shared" si="5"/>
        <v>0</v>
      </c>
      <c r="S26" s="26"/>
      <c r="U26" s="27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1">
        <f t="shared" si="0"/>
        <v>0</v>
      </c>
      <c r="G27" s="9"/>
      <c r="H27" s="70"/>
      <c r="I27" s="67">
        <f t="shared" si="4"/>
        <v>0</v>
      </c>
      <c r="J27" s="32" t="e">
        <f t="shared" si="1"/>
        <v>#DIV/0!</v>
      </c>
      <c r="K27" s="80">
        <v>0.3</v>
      </c>
      <c r="L27" s="74" t="e">
        <f t="shared" si="2"/>
        <v>#DIV/0!</v>
      </c>
      <c r="M27" s="13"/>
      <c r="N27" s="76" t="e">
        <f t="shared" si="3"/>
        <v>#DIV/0!</v>
      </c>
      <c r="O27" s="65"/>
      <c r="P27" s="65"/>
      <c r="Q27" s="43"/>
      <c r="R27" s="67">
        <f t="shared" si="5"/>
        <v>0</v>
      </c>
      <c r="S27" s="26"/>
      <c r="U27" s="27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1">
        <f t="shared" si="0"/>
        <v>0</v>
      </c>
      <c r="G28" s="9"/>
      <c r="H28" s="70"/>
      <c r="I28" s="67">
        <f t="shared" si="4"/>
        <v>0</v>
      </c>
      <c r="J28" s="32" t="e">
        <f t="shared" si="1"/>
        <v>#DIV/0!</v>
      </c>
      <c r="K28" s="80">
        <v>0.3</v>
      </c>
      <c r="L28" s="74" t="e">
        <f t="shared" si="2"/>
        <v>#DIV/0!</v>
      </c>
      <c r="M28" s="13"/>
      <c r="N28" s="76" t="e">
        <f t="shared" si="3"/>
        <v>#DIV/0!</v>
      </c>
      <c r="O28" s="97" t="s">
        <v>18</v>
      </c>
      <c r="P28" s="97"/>
      <c r="Q28" s="97"/>
      <c r="R28" s="68">
        <f>SUM(Q5:Q27)</f>
        <v>0</v>
      </c>
      <c r="S28" s="26"/>
      <c r="U28" s="27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1">
        <f t="shared" si="0"/>
        <v>0</v>
      </c>
      <c r="G29" s="9"/>
      <c r="H29" s="70"/>
      <c r="I29" s="67">
        <f t="shared" si="4"/>
        <v>0</v>
      </c>
      <c r="J29" s="32" t="e">
        <f t="shared" si="1"/>
        <v>#DIV/0!</v>
      </c>
      <c r="K29" s="80">
        <v>0.3</v>
      </c>
      <c r="L29" s="74" t="e">
        <f t="shared" si="2"/>
        <v>#DIV/0!</v>
      </c>
      <c r="M29" s="13"/>
      <c r="N29" s="76" t="e">
        <f t="shared" si="3"/>
        <v>#DIV/0!</v>
      </c>
      <c r="O29" s="97" t="s">
        <v>16</v>
      </c>
      <c r="P29" s="97"/>
      <c r="Q29" s="97"/>
      <c r="R29" s="66"/>
      <c r="S29" s="26"/>
      <c r="U29" s="27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1">
        <f t="shared" si="0"/>
        <v>0</v>
      </c>
      <c r="G30" s="9"/>
      <c r="H30" s="70"/>
      <c r="I30" s="67">
        <f t="shared" si="4"/>
        <v>0</v>
      </c>
      <c r="J30" s="32" t="e">
        <f t="shared" si="1"/>
        <v>#DIV/0!</v>
      </c>
      <c r="K30" s="80">
        <v>0.3</v>
      </c>
      <c r="L30" s="74" t="e">
        <f t="shared" si="2"/>
        <v>#DIV/0!</v>
      </c>
      <c r="M30" s="21"/>
      <c r="N30" s="76" t="e">
        <f t="shared" si="3"/>
        <v>#DIV/0!</v>
      </c>
      <c r="O30" s="97" t="s">
        <v>17</v>
      </c>
      <c r="P30" s="97"/>
      <c r="Q30" s="97"/>
      <c r="R30" s="66">
        <f>R29+R28</f>
        <v>0</v>
      </c>
      <c r="S30" s="26"/>
      <c r="U30" s="27"/>
    </row>
    <row r="31" spans="1:25" ht="18.75" customHeight="1" thickTop="1" thickBot="1" x14ac:dyDescent="0.35">
      <c r="A31" s="9">
        <v>28</v>
      </c>
      <c r="B31" s="22"/>
      <c r="C31" s="5"/>
      <c r="D31" s="5"/>
      <c r="E31" s="5"/>
      <c r="F31" s="31">
        <f t="shared" si="0"/>
        <v>0</v>
      </c>
      <c r="G31" s="9"/>
      <c r="H31" s="70"/>
      <c r="I31" s="67">
        <f t="shared" si="4"/>
        <v>0</v>
      </c>
      <c r="J31" s="32" t="e">
        <f t="shared" si="1"/>
        <v>#DIV/0!</v>
      </c>
      <c r="K31" s="80">
        <v>0.3</v>
      </c>
      <c r="L31" s="74" t="e">
        <f t="shared" si="2"/>
        <v>#DIV/0!</v>
      </c>
      <c r="M31" s="9"/>
      <c r="N31" s="76" t="e">
        <f t="shared" si="3"/>
        <v>#DIV/0!</v>
      </c>
      <c r="O31" s="88" t="s">
        <v>24</v>
      </c>
      <c r="P31" s="88"/>
      <c r="Q31" s="88"/>
      <c r="R31" s="93"/>
      <c r="S31" s="26"/>
      <c r="T31" s="10"/>
      <c r="U31" s="91"/>
      <c r="V31" s="91"/>
      <c r="W31" s="91"/>
      <c r="X31" s="10"/>
    </row>
    <row r="32" spans="1:25" ht="18.75" customHeight="1" thickTop="1" thickBot="1" x14ac:dyDescent="0.35">
      <c r="A32" s="9">
        <v>29</v>
      </c>
      <c r="B32" s="23"/>
      <c r="C32" s="5"/>
      <c r="D32" s="24"/>
      <c r="E32" s="24"/>
      <c r="F32" s="31">
        <f t="shared" si="0"/>
        <v>0</v>
      </c>
      <c r="G32" s="9"/>
      <c r="H32" s="70"/>
      <c r="I32" s="67">
        <f t="shared" si="4"/>
        <v>0</v>
      </c>
      <c r="J32" s="32" t="e">
        <f t="shared" si="1"/>
        <v>#DIV/0!</v>
      </c>
      <c r="K32" s="80">
        <v>0.3</v>
      </c>
      <c r="L32" s="74" t="e">
        <f t="shared" si="2"/>
        <v>#DIV/0!</v>
      </c>
      <c r="M32" s="25"/>
      <c r="N32" s="76" t="e">
        <f t="shared" si="3"/>
        <v>#DIV/0!</v>
      </c>
      <c r="O32" s="88"/>
      <c r="P32" s="88"/>
      <c r="Q32" s="88"/>
      <c r="R32" s="93"/>
      <c r="S32" s="26"/>
      <c r="T32" s="10"/>
      <c r="U32" s="91"/>
      <c r="V32" s="91"/>
      <c r="W32" s="91"/>
      <c r="X32" s="10"/>
    </row>
    <row r="33" spans="1:26" ht="18.75" customHeight="1" thickTop="1" thickBot="1" x14ac:dyDescent="0.35">
      <c r="A33" s="9">
        <v>30</v>
      </c>
      <c r="B33" s="23"/>
      <c r="C33" s="5"/>
      <c r="D33" s="5"/>
      <c r="E33" s="5"/>
      <c r="F33" s="31">
        <f t="shared" si="0"/>
        <v>0</v>
      </c>
      <c r="G33" s="9"/>
      <c r="H33" s="70"/>
      <c r="I33" s="67">
        <f t="shared" si="4"/>
        <v>0</v>
      </c>
      <c r="J33" s="32" t="e">
        <f t="shared" si="1"/>
        <v>#DIV/0!</v>
      </c>
      <c r="K33" s="80">
        <v>0.3</v>
      </c>
      <c r="L33" s="74" t="e">
        <f t="shared" si="2"/>
        <v>#DIV/0!</v>
      </c>
      <c r="M33" s="25"/>
      <c r="N33" s="76" t="e">
        <f t="shared" si="3"/>
        <v>#DIV/0!</v>
      </c>
      <c r="O33" s="88" t="s">
        <v>25</v>
      </c>
      <c r="P33" s="88"/>
      <c r="Q33" s="88"/>
      <c r="R33" s="92">
        <f>SUMIF(N4:N45,"&gt;0",N4:N45)</f>
        <v>199999.99999999997</v>
      </c>
      <c r="S33" s="26"/>
      <c r="T33" s="10"/>
      <c r="U33" s="91"/>
      <c r="V33" s="91"/>
      <c r="W33" s="91"/>
      <c r="X33" s="10"/>
    </row>
    <row r="34" spans="1:26" ht="18.75" customHeight="1" thickTop="1" thickBot="1" x14ac:dyDescent="0.35">
      <c r="A34" s="9">
        <v>31</v>
      </c>
      <c r="B34" s="22"/>
      <c r="C34" s="5"/>
      <c r="D34" s="5"/>
      <c r="E34" s="5"/>
      <c r="F34" s="31">
        <f t="shared" si="0"/>
        <v>0</v>
      </c>
      <c r="G34" s="9"/>
      <c r="H34" s="70"/>
      <c r="I34" s="67">
        <f t="shared" si="4"/>
        <v>0</v>
      </c>
      <c r="J34" s="32" t="e">
        <f t="shared" si="1"/>
        <v>#DIV/0!</v>
      </c>
      <c r="K34" s="80">
        <v>0.3</v>
      </c>
      <c r="L34" s="74" t="e">
        <f t="shared" si="2"/>
        <v>#DIV/0!</v>
      </c>
      <c r="M34" s="25"/>
      <c r="N34" s="76" t="e">
        <f t="shared" si="3"/>
        <v>#DIV/0!</v>
      </c>
      <c r="O34" s="88"/>
      <c r="P34" s="88"/>
      <c r="Q34" s="88"/>
      <c r="R34" s="92"/>
      <c r="S34" s="26"/>
      <c r="T34" s="10"/>
      <c r="U34" s="91"/>
      <c r="V34" s="91"/>
      <c r="W34" s="91"/>
      <c r="X34" s="10"/>
      <c r="Y34"/>
      <c r="Z34"/>
    </row>
    <row r="35" spans="1:26" ht="18.75" customHeight="1" thickTop="1" thickBot="1" x14ac:dyDescent="0.35">
      <c r="A35" s="9">
        <v>32</v>
      </c>
      <c r="B35" s="22"/>
      <c r="C35" s="5"/>
      <c r="D35" s="24"/>
      <c r="E35" s="24"/>
      <c r="F35" s="31">
        <f t="shared" si="0"/>
        <v>0</v>
      </c>
      <c r="G35" s="9"/>
      <c r="H35" s="71"/>
      <c r="I35" s="67">
        <f t="shared" si="4"/>
        <v>0</v>
      </c>
      <c r="J35" s="32" t="e">
        <f t="shared" si="1"/>
        <v>#DIV/0!</v>
      </c>
      <c r="K35" s="80">
        <v>0.3</v>
      </c>
      <c r="L35" s="74" t="e">
        <f t="shared" si="2"/>
        <v>#DIV/0!</v>
      </c>
      <c r="M35" s="25"/>
      <c r="N35" s="76" t="e">
        <f t="shared" si="3"/>
        <v>#DIV/0!</v>
      </c>
      <c r="O35" s="88" t="s">
        <v>23</v>
      </c>
      <c r="P35" s="88"/>
      <c r="Q35" s="88"/>
      <c r="R35" s="89">
        <f>R31+R33</f>
        <v>199999.99999999997</v>
      </c>
      <c r="X35"/>
    </row>
    <row r="36" spans="1:26" ht="18.75" customHeight="1" thickTop="1" thickBot="1" x14ac:dyDescent="0.35">
      <c r="A36" s="9">
        <v>33</v>
      </c>
      <c r="B36" s="22"/>
      <c r="C36" s="5"/>
      <c r="D36" s="5"/>
      <c r="E36" s="5"/>
      <c r="F36" s="31">
        <f t="shared" si="0"/>
        <v>0</v>
      </c>
      <c r="G36" s="9"/>
      <c r="H36" s="70"/>
      <c r="I36" s="67">
        <f t="shared" si="4"/>
        <v>0</v>
      </c>
      <c r="J36" s="32" t="e">
        <f t="shared" si="1"/>
        <v>#DIV/0!</v>
      </c>
      <c r="K36" s="80">
        <v>0.3</v>
      </c>
      <c r="L36" s="74" t="e">
        <f t="shared" si="2"/>
        <v>#DIV/0!</v>
      </c>
      <c r="M36" s="25"/>
      <c r="N36" s="76" t="e">
        <f t="shared" si="3"/>
        <v>#DIV/0!</v>
      </c>
      <c r="O36" s="88"/>
      <c r="P36" s="88"/>
      <c r="Q36" s="88"/>
      <c r="R36" s="89"/>
      <c r="X36"/>
      <c r="Y36"/>
      <c r="Z36"/>
    </row>
    <row r="37" spans="1:26" ht="18.75" customHeight="1" thickTop="1" thickBot="1" x14ac:dyDescent="0.35">
      <c r="A37" s="9">
        <v>34</v>
      </c>
      <c r="B37" s="20"/>
      <c r="C37" s="5"/>
      <c r="D37" s="24"/>
      <c r="E37" s="24"/>
      <c r="F37" s="31">
        <f t="shared" si="0"/>
        <v>0</v>
      </c>
      <c r="G37" s="9"/>
      <c r="H37" s="71"/>
      <c r="I37" s="67">
        <f t="shared" si="4"/>
        <v>0</v>
      </c>
      <c r="J37" s="32" t="e">
        <f t="shared" si="1"/>
        <v>#DIV/0!</v>
      </c>
      <c r="K37" s="80">
        <v>0.3</v>
      </c>
      <c r="L37" s="74" t="e">
        <f t="shared" si="2"/>
        <v>#DIV/0!</v>
      </c>
      <c r="M37" s="25"/>
      <c r="N37" s="76" t="e">
        <f t="shared" si="3"/>
        <v>#DIV/0!</v>
      </c>
      <c r="O37" s="90" t="s">
        <v>40</v>
      </c>
      <c r="P37" s="90"/>
      <c r="Q37" s="90"/>
      <c r="R37" s="90"/>
      <c r="S37"/>
      <c r="X37"/>
      <c r="Y37"/>
      <c r="Z37"/>
    </row>
    <row r="38" spans="1:26" ht="18.75" customHeight="1" thickTop="1" thickBot="1" x14ac:dyDescent="0.35">
      <c r="A38" s="9">
        <v>35</v>
      </c>
      <c r="B38" s="20"/>
      <c r="C38" s="8"/>
      <c r="D38" s="8"/>
      <c r="E38" s="8"/>
      <c r="F38" s="31">
        <f t="shared" si="0"/>
        <v>0</v>
      </c>
      <c r="G38" s="9"/>
      <c r="H38" s="71"/>
      <c r="I38" s="67">
        <f t="shared" si="4"/>
        <v>0</v>
      </c>
      <c r="J38" s="32" t="e">
        <f t="shared" si="1"/>
        <v>#DIV/0!</v>
      </c>
      <c r="K38" s="80">
        <v>0.3</v>
      </c>
      <c r="L38" s="74" t="e">
        <f t="shared" si="2"/>
        <v>#DIV/0!</v>
      </c>
      <c r="M38" s="25"/>
      <c r="N38" s="76" t="e">
        <f t="shared" si="3"/>
        <v>#DIV/0!</v>
      </c>
      <c r="O38" s="90" t="s">
        <v>39</v>
      </c>
      <c r="P38" s="90"/>
      <c r="Q38" s="90"/>
      <c r="R38" s="90"/>
      <c r="S38"/>
      <c r="X38"/>
      <c r="Y38"/>
      <c r="Z38"/>
    </row>
    <row r="39" spans="1:26" ht="18.75" customHeight="1" thickTop="1" thickBot="1" x14ac:dyDescent="0.35">
      <c r="A39" s="9">
        <v>36</v>
      </c>
      <c r="B39" s="20"/>
      <c r="C39" s="8"/>
      <c r="D39" s="8"/>
      <c r="E39" s="8"/>
      <c r="F39" s="31">
        <f t="shared" si="0"/>
        <v>0</v>
      </c>
      <c r="G39" s="9"/>
      <c r="H39" s="72"/>
      <c r="I39" s="67">
        <f t="shared" si="4"/>
        <v>0</v>
      </c>
      <c r="J39" s="32" t="e">
        <f t="shared" si="1"/>
        <v>#DIV/0!</v>
      </c>
      <c r="K39" s="80">
        <v>0.3</v>
      </c>
      <c r="L39" s="74" t="e">
        <f t="shared" si="2"/>
        <v>#DIV/0!</v>
      </c>
      <c r="M39" s="25"/>
      <c r="N39" s="76" t="e">
        <f t="shared" si="3"/>
        <v>#DIV/0!</v>
      </c>
      <c r="O39" s="90" t="s">
        <v>19</v>
      </c>
      <c r="P39" s="90"/>
      <c r="Q39" s="90"/>
      <c r="R39" s="90"/>
      <c r="S39"/>
      <c r="X39"/>
      <c r="Y39"/>
      <c r="Z39"/>
    </row>
    <row r="40" spans="1:26" ht="18.75" customHeight="1" thickTop="1" thickBot="1" x14ac:dyDescent="0.35">
      <c r="A40" s="9">
        <v>37</v>
      </c>
      <c r="B40" s="20"/>
      <c r="C40" s="8"/>
      <c r="D40" s="8"/>
      <c r="E40" s="8"/>
      <c r="F40" s="31">
        <f t="shared" si="0"/>
        <v>0</v>
      </c>
      <c r="G40" s="9"/>
      <c r="H40" s="72"/>
      <c r="I40" s="67">
        <f t="shared" si="4"/>
        <v>0</v>
      </c>
      <c r="J40" s="32" t="e">
        <f t="shared" si="1"/>
        <v>#DIV/0!</v>
      </c>
      <c r="K40" s="80">
        <v>0.3</v>
      </c>
      <c r="L40" s="74" t="e">
        <f t="shared" si="2"/>
        <v>#DIV/0!</v>
      </c>
      <c r="M40" s="25"/>
      <c r="N40" s="76" t="e">
        <f t="shared" si="3"/>
        <v>#DIV/0!</v>
      </c>
      <c r="O40" s="90" t="s">
        <v>41</v>
      </c>
      <c r="P40" s="90"/>
      <c r="Q40" s="90"/>
      <c r="R40" s="90"/>
      <c r="S40"/>
      <c r="X40"/>
      <c r="Y40"/>
      <c r="Z40"/>
    </row>
    <row r="41" spans="1:26" ht="18.75" customHeight="1" thickTop="1" thickBot="1" x14ac:dyDescent="0.35">
      <c r="A41" s="9">
        <v>38</v>
      </c>
      <c r="B41" s="20"/>
      <c r="C41" s="3"/>
      <c r="D41" s="8"/>
      <c r="E41" s="8"/>
      <c r="F41" s="31">
        <f t="shared" si="0"/>
        <v>0</v>
      </c>
      <c r="G41" s="9"/>
      <c r="H41" s="72"/>
      <c r="I41" s="67">
        <f t="shared" si="4"/>
        <v>0</v>
      </c>
      <c r="J41" s="32" t="e">
        <f t="shared" si="1"/>
        <v>#DIV/0!</v>
      </c>
      <c r="K41" s="80">
        <v>0.3</v>
      </c>
      <c r="L41" s="74" t="e">
        <f t="shared" si="2"/>
        <v>#DIV/0!</v>
      </c>
      <c r="M41" s="25"/>
      <c r="N41" s="76" t="e">
        <f t="shared" si="3"/>
        <v>#DIV/0!</v>
      </c>
      <c r="O41" s="90" t="s">
        <v>42</v>
      </c>
      <c r="P41" s="90"/>
      <c r="Q41" s="90"/>
      <c r="R41" s="90"/>
      <c r="S41"/>
      <c r="X41"/>
      <c r="Y41"/>
      <c r="Z41"/>
    </row>
    <row r="42" spans="1:26" ht="18.75" customHeight="1" thickTop="1" thickBot="1" x14ac:dyDescent="0.35">
      <c r="A42" s="9">
        <v>39</v>
      </c>
      <c r="B42" s="20"/>
      <c r="C42" s="8"/>
      <c r="D42" s="8"/>
      <c r="E42" s="8"/>
      <c r="F42" s="31">
        <f t="shared" si="0"/>
        <v>0</v>
      </c>
      <c r="G42" s="9"/>
      <c r="H42" s="72"/>
      <c r="I42" s="67">
        <f t="shared" si="4"/>
        <v>0</v>
      </c>
      <c r="J42" s="32" t="e">
        <f t="shared" si="1"/>
        <v>#DIV/0!</v>
      </c>
      <c r="K42" s="80">
        <v>0.3</v>
      </c>
      <c r="L42" s="74" t="e">
        <f t="shared" si="2"/>
        <v>#DIV/0!</v>
      </c>
      <c r="M42" s="25"/>
      <c r="N42" s="76" t="e">
        <f t="shared" si="3"/>
        <v>#DIV/0!</v>
      </c>
      <c r="O42" s="90" t="s">
        <v>43</v>
      </c>
      <c r="P42" s="90"/>
      <c r="Q42" s="90"/>
      <c r="R42" s="90"/>
      <c r="S42"/>
      <c r="X42"/>
      <c r="Y42"/>
      <c r="Z42"/>
    </row>
    <row r="43" spans="1:26" ht="18.75" customHeight="1" thickTop="1" thickBot="1" x14ac:dyDescent="0.35">
      <c r="A43" s="9">
        <v>40</v>
      </c>
      <c r="B43" s="20"/>
      <c r="C43" s="8"/>
      <c r="D43" s="8"/>
      <c r="E43" s="8"/>
      <c r="F43" s="31">
        <f t="shared" si="0"/>
        <v>0</v>
      </c>
      <c r="G43" s="9"/>
      <c r="H43" s="72"/>
      <c r="I43" s="67">
        <f t="shared" si="4"/>
        <v>0</v>
      </c>
      <c r="J43" s="32" t="e">
        <f t="shared" si="1"/>
        <v>#DIV/0!</v>
      </c>
      <c r="K43" s="80">
        <v>0.3</v>
      </c>
      <c r="L43" s="74" t="e">
        <f t="shared" si="2"/>
        <v>#DIV/0!</v>
      </c>
      <c r="M43" s="25"/>
      <c r="N43" s="76" t="e">
        <f t="shared" si="3"/>
        <v>#DIV/0!</v>
      </c>
      <c r="O43" s="90" t="s">
        <v>44</v>
      </c>
      <c r="P43" s="90"/>
      <c r="Q43" s="90"/>
      <c r="R43" s="90"/>
      <c r="S43"/>
      <c r="X43"/>
      <c r="Y43"/>
      <c r="Z43"/>
    </row>
    <row r="44" spans="1:26" ht="18.75" customHeight="1" thickTop="1" thickBot="1" x14ac:dyDescent="0.35">
      <c r="A44" s="9">
        <v>41</v>
      </c>
      <c r="B44" s="20"/>
      <c r="C44" s="8"/>
      <c r="D44" s="8"/>
      <c r="E44" s="8"/>
      <c r="F44" s="31">
        <f t="shared" si="0"/>
        <v>0</v>
      </c>
      <c r="G44" s="9"/>
      <c r="H44" s="72"/>
      <c r="I44" s="67">
        <f t="shared" si="4"/>
        <v>0</v>
      </c>
      <c r="J44" s="32" t="e">
        <f t="shared" si="1"/>
        <v>#DIV/0!</v>
      </c>
      <c r="K44" s="80">
        <v>0.3</v>
      </c>
      <c r="L44" s="74" t="e">
        <f t="shared" si="2"/>
        <v>#DIV/0!</v>
      </c>
      <c r="M44" s="25"/>
      <c r="N44" s="76" t="e">
        <f t="shared" si="3"/>
        <v>#DIV/0!</v>
      </c>
      <c r="O44" s="90" t="s">
        <v>45</v>
      </c>
      <c r="P44" s="90"/>
      <c r="Q44" s="90"/>
      <c r="R44" s="90"/>
      <c r="S44"/>
    </row>
    <row r="45" spans="1:26" ht="18.75" customHeight="1" thickTop="1" thickBot="1" x14ac:dyDescent="0.35">
      <c r="A45" s="9">
        <v>42</v>
      </c>
      <c r="B45" s="20"/>
      <c r="C45" s="8"/>
      <c r="D45" s="8"/>
      <c r="E45" s="8"/>
      <c r="F45" s="31">
        <f t="shared" si="0"/>
        <v>0</v>
      </c>
      <c r="G45" s="9"/>
      <c r="H45" s="72"/>
      <c r="I45" s="67">
        <f t="shared" si="4"/>
        <v>0</v>
      </c>
      <c r="J45" s="32" t="e">
        <f t="shared" si="1"/>
        <v>#DIV/0!</v>
      </c>
      <c r="K45" s="80">
        <v>0.3</v>
      </c>
      <c r="L45" s="74" t="e">
        <f t="shared" si="2"/>
        <v>#DIV/0!</v>
      </c>
      <c r="M45" s="25"/>
      <c r="N45" s="76" t="e">
        <f t="shared" si="3"/>
        <v>#DIV/0!</v>
      </c>
      <c r="O45" s="90" t="s">
        <v>46</v>
      </c>
      <c r="P45" s="90"/>
      <c r="Q45" s="90"/>
      <c r="R45" s="90"/>
      <c r="S45"/>
    </row>
    <row r="46" spans="1:26" ht="17.25" thickTop="1" x14ac:dyDescent="0.3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87"/>
      <c r="B48" s="7"/>
      <c r="C48" s="7"/>
      <c r="D48" s="7"/>
      <c r="E48" s="87"/>
      <c r="F48" s="87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87"/>
      <c r="B49" s="7"/>
      <c r="C49" s="7"/>
      <c r="D49" s="7"/>
      <c r="E49" s="87"/>
      <c r="F49" s="87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87"/>
      <c r="B53" s="87"/>
      <c r="C53" s="87"/>
      <c r="D53" s="87"/>
      <c r="E53" s="87"/>
      <c r="F53" s="87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87"/>
      <c r="B54" s="87"/>
      <c r="C54" s="7"/>
      <c r="D54" s="7"/>
      <c r="E54" s="87"/>
      <c r="F54" s="87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87"/>
      <c r="B55" s="7"/>
      <c r="C55" s="7"/>
      <c r="D55" s="7"/>
      <c r="E55" s="87"/>
      <c r="F55" s="87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87"/>
      <c r="B57" s="8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26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이준수</vt:lpstr>
      <vt:lpstr>한길수</vt:lpstr>
      <vt:lpstr>전민진</vt:lpstr>
      <vt:lpstr>박형선</vt:lpstr>
      <vt:lpstr>박형선!Print_Area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ADMIN</cp:lastModifiedBy>
  <cp:revision>274</cp:revision>
  <cp:lastPrinted>2024-12-06T06:03:31Z</cp:lastPrinted>
  <dcterms:created xsi:type="dcterms:W3CDTF">2011-03-31T10:04:44Z</dcterms:created>
  <dcterms:modified xsi:type="dcterms:W3CDTF">2025-04-12T09:35:48Z</dcterms:modified>
</cp:coreProperties>
</file>