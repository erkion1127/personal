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6FF0D668-6DF3-402D-91B3-597E91C6E5B4}" xr6:coauthVersionLast="47" xr6:coauthVersionMax="47" xr10:uidLastSave="{00000000-0000-0000-0000-000000000000}"/>
  <bookViews>
    <workbookView xWindow="3675" yWindow="3870" windowWidth="21600" windowHeight="11295" xr2:uid="{BC91DAA5-8F09-4B63-84AD-106E27E2080A}"/>
  </bookViews>
  <sheets>
    <sheet name="김예지3월" sheetId="1" r:id="rId1"/>
    <sheet name="나예지3월" sheetId="5" r:id="rId2"/>
    <sheet name="장은비3월" sheetId="2" r:id="rId3"/>
    <sheet name="김경민3월" sheetId="4" r:id="rId4"/>
    <sheet name="3월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5" l="1"/>
  <c r="D34" i="5"/>
  <c r="D34" i="4"/>
  <c r="D34" i="3"/>
  <c r="D34" i="2"/>
  <c r="D34" i="1"/>
</calcChain>
</file>

<file path=xl/sharedStrings.xml><?xml version="1.0" encoding="utf-8"?>
<sst xmlns="http://schemas.openxmlformats.org/spreadsheetml/2006/main" count="276" uniqueCount="71">
  <si>
    <t>2025년 급여명세서 (오후 인포)</t>
    <phoneticPr fontId="4" type="noConversion"/>
  </si>
  <si>
    <t>Month</t>
  </si>
  <si>
    <t>Day</t>
  </si>
  <si>
    <t>요일</t>
  </si>
  <si>
    <t>근무시간 (휴게시간 제외)</t>
  </si>
  <si>
    <t>비 고</t>
  </si>
  <si>
    <t>3월</t>
    <phoneticPr fontId="4" type="noConversion"/>
  </si>
  <si>
    <t>토</t>
  </si>
  <si>
    <t>일</t>
  </si>
  <si>
    <t>월</t>
  </si>
  <si>
    <t>화</t>
  </si>
  <si>
    <t>수</t>
  </si>
  <si>
    <t>목</t>
  </si>
  <si>
    <t>금</t>
  </si>
  <si>
    <t>TOTAL</t>
  </si>
  <si>
    <t>시급 / 근무시간</t>
  </si>
  <si>
    <t>주휴수당</t>
  </si>
  <si>
    <t>합 산</t>
  </si>
  <si>
    <t>월-금 2시 - 11시</t>
    <phoneticPr fontId="3" type="noConversion"/>
  </si>
  <si>
    <t>근무시간:</t>
    <phoneticPr fontId="3" type="noConversion"/>
  </si>
  <si>
    <t>첫 출근:</t>
    <phoneticPr fontId="3" type="noConversion"/>
  </si>
  <si>
    <t>2025년 급여명세서 (오전 인포)</t>
    <phoneticPr fontId="4" type="noConversion"/>
  </si>
  <si>
    <t>10,030 X 160</t>
    <phoneticPr fontId="4" type="noConversion"/>
  </si>
  <si>
    <t>지급 금액</t>
  </si>
  <si>
    <t xml:space="preserve">1,909,712 - 3.3% </t>
    <phoneticPr fontId="4" type="noConversion"/>
  </si>
  <si>
    <t>첫 출근</t>
  </si>
  <si>
    <t>근무시간</t>
    <phoneticPr fontId="3" type="noConversion"/>
  </si>
  <si>
    <t>은행</t>
    <phoneticPr fontId="4" type="noConversion"/>
  </si>
  <si>
    <t>이름</t>
    <phoneticPr fontId="3" type="noConversion"/>
  </si>
  <si>
    <t>계좌번호</t>
    <phoneticPr fontId="3" type="noConversion"/>
  </si>
  <si>
    <t>시급</t>
    <phoneticPr fontId="3" type="noConversion"/>
  </si>
  <si>
    <t>휴게</t>
    <phoneticPr fontId="3" type="noConversion"/>
  </si>
  <si>
    <t>2025년 급여명세서 (주말 인포)</t>
    <phoneticPr fontId="4" type="noConversion"/>
  </si>
  <si>
    <t>2025년 급여명세서 (FC)</t>
    <phoneticPr fontId="4" type="noConversion"/>
  </si>
  <si>
    <t>첫출근</t>
    <phoneticPr fontId="3" type="noConversion"/>
  </si>
  <si>
    <t>10,030 X 77</t>
    <phoneticPr fontId="4" type="noConversion"/>
  </si>
  <si>
    <t xml:space="preserve">912,730 - 3.3% </t>
    <phoneticPr fontId="4" type="noConversion"/>
  </si>
  <si>
    <t>25.03.17</t>
    <phoneticPr fontId="3" type="noConversion"/>
  </si>
  <si>
    <t>조모상</t>
    <phoneticPr fontId="3" type="noConversion"/>
  </si>
  <si>
    <t>대체 공휴일 휴무</t>
    <phoneticPr fontId="3" type="noConversion"/>
  </si>
  <si>
    <t>유계결근 (병원)</t>
    <phoneticPr fontId="3" type="noConversion"/>
  </si>
  <si>
    <t>10,030 X 102</t>
    <phoneticPr fontId="4" type="noConversion"/>
  </si>
  <si>
    <t>1,131,384 - 3.3%</t>
    <phoneticPr fontId="3" type="noConversion"/>
  </si>
  <si>
    <t>장은비</t>
    <phoneticPr fontId="3" type="noConversion"/>
  </si>
  <si>
    <t>나예지</t>
    <phoneticPr fontId="3" type="noConversion"/>
  </si>
  <si>
    <t>월-금 6:00 - 13:00</t>
    <phoneticPr fontId="3" type="noConversion"/>
  </si>
  <si>
    <t>월-금 17:00 - 23:00</t>
    <phoneticPr fontId="3" type="noConversion"/>
  </si>
  <si>
    <t>토,일 11:00 - 18:30</t>
    <phoneticPr fontId="3" type="noConversion"/>
  </si>
  <si>
    <t>김경민</t>
    <phoneticPr fontId="3" type="noConversion"/>
  </si>
  <si>
    <t>정기휴무</t>
    <phoneticPr fontId="3" type="noConversion"/>
  </si>
  <si>
    <t>대체 공휴일 근무</t>
    <phoneticPr fontId="3" type="noConversion"/>
  </si>
  <si>
    <t>10,030 X 74.5</t>
    <phoneticPr fontId="4" type="noConversion"/>
  </si>
  <si>
    <t>25.02.09</t>
    <phoneticPr fontId="3" type="noConversion"/>
  </si>
  <si>
    <t>25.02.21</t>
    <phoneticPr fontId="3" type="noConversion"/>
  </si>
  <si>
    <t>10,030 X 188</t>
    <phoneticPr fontId="4" type="noConversion"/>
  </si>
  <si>
    <t>김예지</t>
    <phoneticPr fontId="3" type="noConversion"/>
  </si>
  <si>
    <t>카카오뱅크</t>
    <phoneticPr fontId="3" type="noConversion"/>
  </si>
  <si>
    <t>25.01.23</t>
    <phoneticPr fontId="3" type="noConversion"/>
  </si>
  <si>
    <t>2,244,714 - 3.3% =</t>
    <phoneticPr fontId="4" type="noConversion"/>
  </si>
  <si>
    <t>식대</t>
    <phoneticPr fontId="3" type="noConversion"/>
  </si>
  <si>
    <t>3333 24 3196922</t>
    <phoneticPr fontId="3" type="noConversion"/>
  </si>
  <si>
    <t>최대 주휴수당은 80,240 입나다^^</t>
    <phoneticPr fontId="3" type="noConversion"/>
  </si>
  <si>
    <t>시급 10,030 기준 / 주 40시간 이상 근로시</t>
    <phoneticPr fontId="3" type="noConversion"/>
  </si>
  <si>
    <t>110-583-687918</t>
    <phoneticPr fontId="3" type="noConversion"/>
  </si>
  <si>
    <t>신한은행</t>
    <phoneticPr fontId="3" type="noConversion"/>
  </si>
  <si>
    <t>302-456291-9561</t>
    <phoneticPr fontId="3" type="noConversion"/>
  </si>
  <si>
    <t>은행</t>
    <phoneticPr fontId="3" type="noConversion"/>
  </si>
  <si>
    <t>농협</t>
    <phoneticPr fontId="3" type="noConversion"/>
  </si>
  <si>
    <t>1000-2486-1507</t>
  </si>
  <si>
    <t xml:space="preserve">토스뱅크 </t>
  </si>
  <si>
    <t>782,340 - 3.3% -레슨금액(352,000)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</si>
</sst>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3" fontId="0" fillId="2" borderId="9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center" vertical="center"/>
    </xf>
    <xf numFmtId="3" fontId="0" fillId="0" borderId="19" xfId="0" applyNumberFormat="1" applyBorder="1" applyAlignment="1">
      <alignment horizontal="left" vertical="center"/>
    </xf>
    <xf numFmtId="3" fontId="8" fillId="0" borderId="19" xfId="0" applyNumberFormat="1" applyFont="1" applyBorder="1" applyAlignment="1">
      <alignment horizontal="left" vertical="center"/>
    </xf>
    <xf numFmtId="3" fontId="9" fillId="0" borderId="19" xfId="0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6" fillId="4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>
      <alignment vertical="center"/>
    </xf>
    <xf numFmtId="0" fontId="6" fillId="0" borderId="19" xfId="0" applyFont="1" applyBorder="1">
      <alignment vertical="center"/>
    </xf>
    <xf numFmtId="0" fontId="1" fillId="5" borderId="9" xfId="0" applyFont="1" applyFill="1" applyBorder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18" xfId="0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7FAB-CB01-4DAA-973A-9F825D12CDD4}">
  <dimension ref="A1:E48"/>
  <sheetViews>
    <sheetView tabSelected="1" topLeftCell="A16" zoomScale="85" zoomScaleNormal="85" workbookViewId="0">
      <selection activeCell="D42" sqref="D42"/>
    </sheetView>
  </sheetViews>
  <sheetFormatPr defaultRowHeight="16.5" x14ac:dyDescent="0.3"/>
  <cols>
    <col min="3" max="3" width="18.25" customWidth="1"/>
    <col min="4" max="4" width="19.875" customWidth="1"/>
    <col min="5" max="5" width="15.625" customWidth="1"/>
  </cols>
  <sheetData>
    <row r="1" spans="1:5" ht="17.25" thickBot="1" x14ac:dyDescent="0.35">
      <c r="A1" s="50" t="s">
        <v>33</v>
      </c>
      <c r="B1" s="51"/>
      <c r="C1" s="51"/>
      <c r="D1" s="51"/>
      <c r="E1" s="52"/>
    </row>
    <row r="2" spans="1:5" x14ac:dyDescent="0.3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x14ac:dyDescent="0.3">
      <c r="A3" s="53" t="s">
        <v>6</v>
      </c>
      <c r="B3" s="5">
        <v>1</v>
      </c>
      <c r="C3" s="6" t="s">
        <v>7</v>
      </c>
      <c r="D3" s="6"/>
      <c r="E3" s="7"/>
    </row>
    <row r="4" spans="1:5" x14ac:dyDescent="0.3">
      <c r="A4" s="54"/>
      <c r="B4" s="5">
        <v>2</v>
      </c>
      <c r="C4" s="6" t="s">
        <v>8</v>
      </c>
      <c r="D4" s="6"/>
      <c r="E4" s="8"/>
    </row>
    <row r="5" spans="1:5" x14ac:dyDescent="0.3">
      <c r="A5" s="54"/>
      <c r="B5" s="5">
        <v>3</v>
      </c>
      <c r="C5" s="14" t="s">
        <v>9</v>
      </c>
      <c r="D5" s="14"/>
      <c r="E5" s="47" t="s">
        <v>39</v>
      </c>
    </row>
    <row r="6" spans="1:5" x14ac:dyDescent="0.3">
      <c r="A6" s="54"/>
      <c r="B6" s="5">
        <v>4</v>
      </c>
      <c r="C6" s="9" t="s">
        <v>10</v>
      </c>
      <c r="D6" s="9">
        <v>9</v>
      </c>
      <c r="E6" s="10"/>
    </row>
    <row r="7" spans="1:5" x14ac:dyDescent="0.3">
      <c r="A7" s="54"/>
      <c r="B7" s="5">
        <v>5</v>
      </c>
      <c r="C7" s="11" t="s">
        <v>11</v>
      </c>
      <c r="D7" s="9">
        <v>9</v>
      </c>
      <c r="E7" s="12"/>
    </row>
    <row r="8" spans="1:5" x14ac:dyDescent="0.3">
      <c r="A8" s="54"/>
      <c r="B8" s="5">
        <v>6</v>
      </c>
      <c r="C8" s="9" t="s">
        <v>12</v>
      </c>
      <c r="D8" s="9">
        <v>9</v>
      </c>
      <c r="E8" s="10"/>
    </row>
    <row r="9" spans="1:5" x14ac:dyDescent="0.3">
      <c r="A9" s="54"/>
      <c r="B9" s="5">
        <v>7</v>
      </c>
      <c r="C9" s="9" t="s">
        <v>13</v>
      </c>
      <c r="D9" s="9">
        <v>9</v>
      </c>
      <c r="E9" s="13">
        <v>72216</v>
      </c>
    </row>
    <row r="10" spans="1:5" x14ac:dyDescent="0.3">
      <c r="A10" s="54"/>
      <c r="B10" s="5">
        <v>8</v>
      </c>
      <c r="C10" s="6" t="s">
        <v>7</v>
      </c>
      <c r="D10" s="6"/>
      <c r="E10" s="7"/>
    </row>
    <row r="11" spans="1:5" x14ac:dyDescent="0.3">
      <c r="A11" s="54"/>
      <c r="B11" s="5">
        <v>9</v>
      </c>
      <c r="C11" s="6" t="s">
        <v>8</v>
      </c>
      <c r="D11" s="6"/>
      <c r="E11" s="7"/>
    </row>
    <row r="12" spans="1:5" x14ac:dyDescent="0.3">
      <c r="A12" s="54"/>
      <c r="B12" s="5">
        <v>10</v>
      </c>
      <c r="C12" s="9" t="s">
        <v>9</v>
      </c>
      <c r="D12" s="9">
        <v>9</v>
      </c>
      <c r="E12" s="12"/>
    </row>
    <row r="13" spans="1:5" x14ac:dyDescent="0.3">
      <c r="A13" s="54"/>
      <c r="B13" s="5">
        <v>11</v>
      </c>
      <c r="C13" s="9" t="s">
        <v>10</v>
      </c>
      <c r="D13" s="9">
        <v>9</v>
      </c>
      <c r="E13" s="10"/>
    </row>
    <row r="14" spans="1:5" x14ac:dyDescent="0.3">
      <c r="A14" s="54"/>
      <c r="B14" s="5">
        <v>12</v>
      </c>
      <c r="C14" s="9" t="s">
        <v>11</v>
      </c>
      <c r="D14" s="9">
        <v>9</v>
      </c>
      <c r="E14" s="10"/>
    </row>
    <row r="15" spans="1:5" x14ac:dyDescent="0.3">
      <c r="A15" s="54"/>
      <c r="B15" s="5">
        <v>13</v>
      </c>
      <c r="C15" s="9" t="s">
        <v>12</v>
      </c>
      <c r="D15" s="9">
        <v>9</v>
      </c>
      <c r="E15" s="10"/>
    </row>
    <row r="16" spans="1:5" x14ac:dyDescent="0.3">
      <c r="A16" s="54"/>
      <c r="B16" s="5">
        <v>14</v>
      </c>
      <c r="C16" s="9" t="s">
        <v>13</v>
      </c>
      <c r="D16" s="9">
        <v>9</v>
      </c>
      <c r="E16" s="13">
        <v>80240</v>
      </c>
    </row>
    <row r="17" spans="1:5" x14ac:dyDescent="0.3">
      <c r="A17" s="54"/>
      <c r="B17" s="5">
        <v>15</v>
      </c>
      <c r="C17" s="6" t="s">
        <v>7</v>
      </c>
      <c r="D17" s="6"/>
      <c r="E17" s="7"/>
    </row>
    <row r="18" spans="1:5" x14ac:dyDescent="0.3">
      <c r="A18" s="54"/>
      <c r="B18" s="5">
        <v>16</v>
      </c>
      <c r="C18" s="14" t="s">
        <v>8</v>
      </c>
      <c r="D18" s="14"/>
      <c r="E18" s="15"/>
    </row>
    <row r="19" spans="1:5" x14ac:dyDescent="0.3">
      <c r="A19" s="54"/>
      <c r="B19" s="5">
        <v>17</v>
      </c>
      <c r="C19" s="9" t="s">
        <v>9</v>
      </c>
      <c r="D19" s="9">
        <v>9</v>
      </c>
      <c r="E19" s="12"/>
    </row>
    <row r="20" spans="1:5" x14ac:dyDescent="0.3">
      <c r="A20" s="54"/>
      <c r="B20" s="5">
        <v>18</v>
      </c>
      <c r="C20" s="9" t="s">
        <v>10</v>
      </c>
      <c r="D20" s="9">
        <v>9</v>
      </c>
      <c r="E20" s="32"/>
    </row>
    <row r="21" spans="1:5" x14ac:dyDescent="0.3">
      <c r="A21" s="54"/>
      <c r="B21" s="5">
        <v>19</v>
      </c>
      <c r="C21" s="9" t="s">
        <v>11</v>
      </c>
      <c r="D21" s="9">
        <v>9</v>
      </c>
      <c r="E21" s="12"/>
    </row>
    <row r="22" spans="1:5" x14ac:dyDescent="0.3">
      <c r="A22" s="54"/>
      <c r="B22" s="5">
        <v>20</v>
      </c>
      <c r="C22" s="9" t="s">
        <v>12</v>
      </c>
      <c r="D22" s="9">
        <v>9</v>
      </c>
      <c r="E22" s="10"/>
    </row>
    <row r="23" spans="1:5" x14ac:dyDescent="0.3">
      <c r="A23" s="54"/>
      <c r="B23" s="5">
        <v>21</v>
      </c>
      <c r="C23" s="9" t="s">
        <v>13</v>
      </c>
      <c r="D23" s="9">
        <v>9</v>
      </c>
      <c r="E23" s="13">
        <v>80240</v>
      </c>
    </row>
    <row r="24" spans="1:5" x14ac:dyDescent="0.3">
      <c r="A24" s="54"/>
      <c r="B24" s="5">
        <v>22</v>
      </c>
      <c r="C24" s="6" t="s">
        <v>7</v>
      </c>
      <c r="D24" s="6"/>
      <c r="E24" s="7"/>
    </row>
    <row r="25" spans="1:5" x14ac:dyDescent="0.3">
      <c r="A25" s="54"/>
      <c r="B25" s="5">
        <v>23</v>
      </c>
      <c r="C25" s="14" t="s">
        <v>8</v>
      </c>
      <c r="D25" s="14"/>
      <c r="E25" s="15"/>
    </row>
    <row r="26" spans="1:5" x14ac:dyDescent="0.3">
      <c r="A26" s="54"/>
      <c r="B26" s="5">
        <v>24</v>
      </c>
      <c r="C26" s="9" t="s">
        <v>9</v>
      </c>
      <c r="D26" s="9">
        <v>9</v>
      </c>
      <c r="E26" s="12"/>
    </row>
    <row r="27" spans="1:5" x14ac:dyDescent="0.3">
      <c r="A27" s="54"/>
      <c r="B27" s="5">
        <v>25</v>
      </c>
      <c r="C27" s="9" t="s">
        <v>10</v>
      </c>
      <c r="D27" s="9">
        <v>9</v>
      </c>
      <c r="E27" s="10"/>
    </row>
    <row r="28" spans="1:5" x14ac:dyDescent="0.3">
      <c r="A28" s="54"/>
      <c r="B28" s="5">
        <v>26</v>
      </c>
      <c r="C28" s="9" t="s">
        <v>11</v>
      </c>
      <c r="D28" s="9">
        <v>9</v>
      </c>
      <c r="E28" s="12"/>
    </row>
    <row r="29" spans="1:5" x14ac:dyDescent="0.3">
      <c r="A29" s="54"/>
      <c r="B29" s="5">
        <v>27</v>
      </c>
      <c r="C29" s="9" t="s">
        <v>12</v>
      </c>
      <c r="D29" s="9">
        <v>9</v>
      </c>
      <c r="E29" s="10"/>
    </row>
    <row r="30" spans="1:5" x14ac:dyDescent="0.3">
      <c r="A30" s="54"/>
      <c r="B30" s="5">
        <v>28</v>
      </c>
      <c r="C30" s="9" t="s">
        <v>13</v>
      </c>
      <c r="D30" s="9">
        <v>9</v>
      </c>
      <c r="E30" s="12"/>
    </row>
    <row r="31" spans="1:5" x14ac:dyDescent="0.3">
      <c r="A31" s="54"/>
      <c r="B31" s="16">
        <v>29</v>
      </c>
      <c r="C31" s="33" t="s">
        <v>7</v>
      </c>
      <c r="D31" s="33">
        <v>8</v>
      </c>
      <c r="E31" s="13">
        <v>80240</v>
      </c>
    </row>
    <row r="32" spans="1:5" x14ac:dyDescent="0.3">
      <c r="A32" s="54"/>
      <c r="B32" s="16">
        <v>30</v>
      </c>
      <c r="C32" s="14" t="s">
        <v>8</v>
      </c>
      <c r="D32" s="14"/>
      <c r="E32" s="15"/>
    </row>
    <row r="33" spans="1:5" x14ac:dyDescent="0.3">
      <c r="A33" s="55"/>
      <c r="B33" s="16">
        <v>31</v>
      </c>
      <c r="C33" s="33" t="s">
        <v>9</v>
      </c>
      <c r="D33" s="33">
        <v>9</v>
      </c>
      <c r="E33" s="34"/>
    </row>
    <row r="34" spans="1:5" ht="17.25" thickBot="1" x14ac:dyDescent="0.35">
      <c r="A34" s="56" t="s">
        <v>14</v>
      </c>
      <c r="B34" s="57"/>
      <c r="C34" s="57"/>
      <c r="D34" s="17">
        <f>SUM(D3:D33)</f>
        <v>188</v>
      </c>
      <c r="E34" s="18"/>
    </row>
    <row r="35" spans="1:5" x14ac:dyDescent="0.3">
      <c r="A35" s="19"/>
      <c r="B35" s="20"/>
      <c r="C35" s="20"/>
      <c r="D35" s="20"/>
      <c r="E35" s="21"/>
    </row>
    <row r="36" spans="1:5" x14ac:dyDescent="0.3">
      <c r="A36" s="49" t="s">
        <v>15</v>
      </c>
      <c r="B36" s="48"/>
      <c r="C36" s="58" t="s">
        <v>54</v>
      </c>
      <c r="D36" s="48"/>
      <c r="E36" s="23">
        <v>1885640</v>
      </c>
    </row>
    <row r="37" spans="1:5" x14ac:dyDescent="0.3">
      <c r="A37" s="49" t="s">
        <v>16</v>
      </c>
      <c r="B37" s="48"/>
      <c r="C37" s="48"/>
      <c r="D37" s="48"/>
      <c r="E37" s="23">
        <v>312936</v>
      </c>
    </row>
    <row r="38" spans="1:5" x14ac:dyDescent="0.3">
      <c r="A38" s="49" t="s">
        <v>17</v>
      </c>
      <c r="B38" s="48"/>
      <c r="C38" s="59" t="s">
        <v>58</v>
      </c>
      <c r="D38" s="59"/>
      <c r="E38" s="24">
        <v>2170639</v>
      </c>
    </row>
    <row r="39" spans="1:5" x14ac:dyDescent="0.3">
      <c r="A39" s="49" t="s">
        <v>59</v>
      </c>
      <c r="B39" s="48"/>
      <c r="C39" s="60">
        <v>300000</v>
      </c>
      <c r="D39" s="48"/>
      <c r="E39" s="25">
        <v>2470639</v>
      </c>
    </row>
    <row r="40" spans="1:5" x14ac:dyDescent="0.3">
      <c r="A40" s="49" t="s">
        <v>56</v>
      </c>
      <c r="B40" s="48"/>
      <c r="C40" t="s">
        <v>55</v>
      </c>
      <c r="D40" s="26" t="s">
        <v>60</v>
      </c>
      <c r="E40" s="38"/>
    </row>
    <row r="41" spans="1:5" ht="17.25" thickBot="1" x14ac:dyDescent="0.35">
      <c r="A41" s="27"/>
      <c r="B41" s="28"/>
      <c r="C41" s="29"/>
      <c r="D41" s="29"/>
      <c r="E41" s="30"/>
    </row>
    <row r="42" spans="1:5" x14ac:dyDescent="0.3">
      <c r="B42" s="42" t="s">
        <v>30</v>
      </c>
      <c r="C42" s="41">
        <v>10030</v>
      </c>
    </row>
    <row r="43" spans="1:5" x14ac:dyDescent="0.3">
      <c r="B43" s="42" t="s">
        <v>19</v>
      </c>
      <c r="C43" s="42" t="s">
        <v>18</v>
      </c>
      <c r="D43" s="22"/>
    </row>
    <row r="44" spans="1:5" x14ac:dyDescent="0.3">
      <c r="B44" s="42" t="s">
        <v>20</v>
      </c>
      <c r="C44" s="42" t="s">
        <v>57</v>
      </c>
    </row>
    <row r="47" spans="1:5" x14ac:dyDescent="0.3">
      <c r="C47" s="48" t="s">
        <v>62</v>
      </c>
      <c r="D47" s="48"/>
      <c r="E47" s="48"/>
    </row>
    <row r="48" spans="1:5" x14ac:dyDescent="0.3">
      <c r="C48" s="48" t="s">
        <v>61</v>
      </c>
      <c r="D48" s="48"/>
      <c r="E48" s="48"/>
    </row>
  </sheetData>
  <mergeCells count="14">
    <mergeCell ref="C47:E47"/>
    <mergeCell ref="C48:E48"/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  <pageSetup paperSize="258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1012-5547-494D-B1F5-53D13B47406A}">
  <dimension ref="A1:E45"/>
  <sheetViews>
    <sheetView topLeftCell="A22" zoomScale="78" zoomScaleNormal="78" workbookViewId="0">
      <selection activeCell="C41" sqref="C41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50" t="s">
        <v>21</v>
      </c>
      <c r="B1" s="51"/>
      <c r="C1" s="51"/>
      <c r="D1" s="51"/>
      <c r="E1" s="52"/>
    </row>
    <row r="2" spans="1:5" x14ac:dyDescent="0.3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x14ac:dyDescent="0.3">
      <c r="A3" s="53" t="s">
        <v>6</v>
      </c>
      <c r="B3" s="5">
        <v>1</v>
      </c>
      <c r="C3" s="14" t="s">
        <v>7</v>
      </c>
      <c r="D3" s="14"/>
      <c r="E3" s="15"/>
    </row>
    <row r="4" spans="1:5" x14ac:dyDescent="0.3">
      <c r="A4" s="54"/>
      <c r="B4" s="5">
        <v>2</v>
      </c>
      <c r="C4" s="14" t="s">
        <v>8</v>
      </c>
      <c r="D4" s="14"/>
      <c r="E4" s="15"/>
    </row>
    <row r="5" spans="1:5" x14ac:dyDescent="0.3">
      <c r="A5" s="54"/>
      <c r="B5" s="5">
        <v>3</v>
      </c>
      <c r="C5" s="14" t="s">
        <v>9</v>
      </c>
      <c r="D5" s="14"/>
      <c r="E5" s="31"/>
    </row>
    <row r="6" spans="1:5" x14ac:dyDescent="0.3">
      <c r="A6" s="54"/>
      <c r="B6" s="5">
        <v>4</v>
      </c>
      <c r="C6" s="33" t="s">
        <v>10</v>
      </c>
      <c r="D6" s="33"/>
      <c r="E6" s="40"/>
    </row>
    <row r="7" spans="1:5" x14ac:dyDescent="0.3">
      <c r="A7" s="54"/>
      <c r="B7" s="5">
        <v>5</v>
      </c>
      <c r="C7" s="9" t="s">
        <v>11</v>
      </c>
      <c r="D7" s="9"/>
      <c r="E7" s="12"/>
    </row>
    <row r="8" spans="1:5" x14ac:dyDescent="0.3">
      <c r="A8" s="54"/>
      <c r="B8" s="5">
        <v>6</v>
      </c>
      <c r="C8" s="9" t="s">
        <v>12</v>
      </c>
      <c r="D8" s="9"/>
      <c r="E8" s="10"/>
    </row>
    <row r="9" spans="1:5" x14ac:dyDescent="0.3">
      <c r="A9" s="54"/>
      <c r="B9" s="5">
        <v>7</v>
      </c>
      <c r="C9" s="9" t="s">
        <v>13</v>
      </c>
      <c r="D9" s="9"/>
      <c r="E9" s="36"/>
    </row>
    <row r="10" spans="1:5" x14ac:dyDescent="0.3">
      <c r="A10" s="54"/>
      <c r="B10" s="5">
        <v>8</v>
      </c>
      <c r="C10" s="6" t="s">
        <v>7</v>
      </c>
      <c r="D10" s="6"/>
      <c r="E10" s="7"/>
    </row>
    <row r="11" spans="1:5" x14ac:dyDescent="0.3">
      <c r="A11" s="54"/>
      <c r="B11" s="5">
        <v>9</v>
      </c>
      <c r="C11" s="6" t="s">
        <v>8</v>
      </c>
      <c r="D11" s="6"/>
      <c r="E11" s="7"/>
    </row>
    <row r="12" spans="1:5" x14ac:dyDescent="0.3">
      <c r="A12" s="54"/>
      <c r="B12" s="5">
        <v>10</v>
      </c>
      <c r="C12" s="33" t="s">
        <v>9</v>
      </c>
      <c r="D12" s="33"/>
      <c r="E12" s="35"/>
    </row>
    <row r="13" spans="1:5" x14ac:dyDescent="0.3">
      <c r="A13" s="54"/>
      <c r="B13" s="5">
        <v>11</v>
      </c>
      <c r="C13" s="33" t="s">
        <v>10</v>
      </c>
      <c r="D13" s="33"/>
      <c r="E13" s="35"/>
    </row>
    <row r="14" spans="1:5" x14ac:dyDescent="0.3">
      <c r="A14" s="54"/>
      <c r="B14" s="5">
        <v>12</v>
      </c>
      <c r="C14" s="33" t="s">
        <v>11</v>
      </c>
      <c r="D14" s="33"/>
      <c r="E14" s="34"/>
    </row>
    <row r="15" spans="1:5" x14ac:dyDescent="0.3">
      <c r="A15" s="54"/>
      <c r="B15" s="5">
        <v>13</v>
      </c>
      <c r="C15" s="33" t="s">
        <v>12</v>
      </c>
      <c r="D15" s="33"/>
      <c r="E15" s="35"/>
    </row>
    <row r="16" spans="1:5" x14ac:dyDescent="0.3">
      <c r="A16" s="54"/>
      <c r="B16" s="5">
        <v>14</v>
      </c>
      <c r="C16" s="33" t="s">
        <v>13</v>
      </c>
      <c r="D16" s="33"/>
      <c r="E16" s="36"/>
    </row>
    <row r="17" spans="1:5" x14ac:dyDescent="0.3">
      <c r="A17" s="54"/>
      <c r="B17" s="5">
        <v>15</v>
      </c>
      <c r="C17" s="14" t="s">
        <v>7</v>
      </c>
      <c r="D17" s="14"/>
      <c r="E17" s="15"/>
    </row>
    <row r="18" spans="1:5" x14ac:dyDescent="0.3">
      <c r="A18" s="54"/>
      <c r="B18" s="5">
        <v>16</v>
      </c>
      <c r="C18" s="14" t="s">
        <v>8</v>
      </c>
      <c r="D18" s="14"/>
      <c r="E18" s="15"/>
    </row>
    <row r="19" spans="1:5" x14ac:dyDescent="0.3">
      <c r="A19" s="54"/>
      <c r="B19" s="5">
        <v>17</v>
      </c>
      <c r="C19" s="33" t="s">
        <v>9</v>
      </c>
      <c r="D19" s="33">
        <v>7</v>
      </c>
      <c r="E19" s="40" t="s">
        <v>34</v>
      </c>
    </row>
    <row r="20" spans="1:5" x14ac:dyDescent="0.3">
      <c r="A20" s="54"/>
      <c r="B20" s="5">
        <v>18</v>
      </c>
      <c r="C20" s="33" t="s">
        <v>10</v>
      </c>
      <c r="D20" s="33">
        <v>7</v>
      </c>
      <c r="E20" s="35"/>
    </row>
    <row r="21" spans="1:5" x14ac:dyDescent="0.3">
      <c r="A21" s="54"/>
      <c r="B21" s="5">
        <v>19</v>
      </c>
      <c r="C21" s="9" t="s">
        <v>11</v>
      </c>
      <c r="D21" s="9">
        <v>7</v>
      </c>
      <c r="E21" s="12"/>
    </row>
    <row r="22" spans="1:5" x14ac:dyDescent="0.3">
      <c r="A22" s="54"/>
      <c r="B22" s="5">
        <v>20</v>
      </c>
      <c r="C22" s="9" t="s">
        <v>12</v>
      </c>
      <c r="D22" s="9">
        <v>7</v>
      </c>
      <c r="E22" s="10"/>
    </row>
    <row r="23" spans="1:5" x14ac:dyDescent="0.3">
      <c r="A23" s="54"/>
      <c r="B23" s="5">
        <v>21</v>
      </c>
      <c r="C23" s="9" t="s">
        <v>13</v>
      </c>
      <c r="D23" s="9">
        <v>7</v>
      </c>
      <c r="E23" s="36">
        <v>70210</v>
      </c>
    </row>
    <row r="24" spans="1:5" x14ac:dyDescent="0.3">
      <c r="A24" s="54"/>
      <c r="B24" s="5">
        <v>22</v>
      </c>
      <c r="C24" s="6" t="s">
        <v>7</v>
      </c>
      <c r="D24" s="6"/>
      <c r="E24" s="43"/>
    </row>
    <row r="25" spans="1:5" x14ac:dyDescent="0.3">
      <c r="A25" s="54"/>
      <c r="B25" s="5">
        <v>23</v>
      </c>
      <c r="C25" s="6" t="s">
        <v>8</v>
      </c>
      <c r="D25" s="6"/>
      <c r="E25" s="43"/>
    </row>
    <row r="26" spans="1:5" x14ac:dyDescent="0.3">
      <c r="A26" s="54"/>
      <c r="B26" s="5">
        <v>24</v>
      </c>
      <c r="C26" s="33" t="s">
        <v>9</v>
      </c>
      <c r="D26" s="33">
        <v>7</v>
      </c>
      <c r="E26" s="35"/>
    </row>
    <row r="27" spans="1:5" x14ac:dyDescent="0.3">
      <c r="A27" s="54"/>
      <c r="B27" s="5">
        <v>25</v>
      </c>
      <c r="C27" s="33" t="s">
        <v>10</v>
      </c>
      <c r="D27" s="33">
        <v>7</v>
      </c>
      <c r="E27" s="35"/>
    </row>
    <row r="28" spans="1:5" x14ac:dyDescent="0.3">
      <c r="A28" s="54"/>
      <c r="B28" s="5">
        <v>26</v>
      </c>
      <c r="C28" s="33" t="s">
        <v>11</v>
      </c>
      <c r="D28" s="33">
        <v>7</v>
      </c>
      <c r="E28" s="34"/>
    </row>
    <row r="29" spans="1:5" x14ac:dyDescent="0.3">
      <c r="A29" s="54"/>
      <c r="B29" s="5">
        <v>27</v>
      </c>
      <c r="C29" s="33" t="s">
        <v>12</v>
      </c>
      <c r="D29" s="33">
        <v>7</v>
      </c>
      <c r="E29" s="35"/>
    </row>
    <row r="30" spans="1:5" x14ac:dyDescent="0.3">
      <c r="A30" s="54"/>
      <c r="B30" s="5">
        <v>28</v>
      </c>
      <c r="C30" s="33" t="s">
        <v>13</v>
      </c>
      <c r="D30" s="33">
        <v>7</v>
      </c>
      <c r="E30" s="36">
        <v>70210</v>
      </c>
    </row>
    <row r="31" spans="1:5" x14ac:dyDescent="0.3">
      <c r="A31" s="54"/>
      <c r="B31" s="16">
        <v>29</v>
      </c>
      <c r="C31" s="14" t="s">
        <v>7</v>
      </c>
      <c r="D31" s="14"/>
      <c r="E31" s="44"/>
    </row>
    <row r="32" spans="1:5" x14ac:dyDescent="0.3">
      <c r="A32" s="54"/>
      <c r="B32" s="16">
        <v>30</v>
      </c>
      <c r="C32" s="14" t="s">
        <v>8</v>
      </c>
      <c r="D32" s="14"/>
      <c r="E32" s="44"/>
    </row>
    <row r="33" spans="1:5" x14ac:dyDescent="0.3">
      <c r="A33" s="55"/>
      <c r="B33" s="16">
        <v>31</v>
      </c>
      <c r="C33" s="33" t="s">
        <v>9</v>
      </c>
      <c r="D33" s="33">
        <v>7</v>
      </c>
      <c r="E33" s="35"/>
    </row>
    <row r="34" spans="1:5" ht="17.25" thickBot="1" x14ac:dyDescent="0.35">
      <c r="A34" s="56" t="s">
        <v>14</v>
      </c>
      <c r="B34" s="57"/>
      <c r="C34" s="57"/>
      <c r="D34" s="17">
        <f>SUM(D3:D33)</f>
        <v>77</v>
      </c>
      <c r="E34" s="37"/>
    </row>
    <row r="35" spans="1:5" x14ac:dyDescent="0.3">
      <c r="A35" s="19"/>
      <c r="B35" s="20"/>
      <c r="C35" s="20"/>
      <c r="D35" s="20"/>
      <c r="E35" s="21"/>
    </row>
    <row r="36" spans="1:5" x14ac:dyDescent="0.3">
      <c r="A36" s="61" t="s">
        <v>15</v>
      </c>
      <c r="B36" s="62"/>
      <c r="C36" s="62" t="s">
        <v>35</v>
      </c>
      <c r="D36" s="48"/>
      <c r="E36" s="23">
        <f>10030*77</f>
        <v>772310</v>
      </c>
    </row>
    <row r="37" spans="1:5" x14ac:dyDescent="0.3">
      <c r="A37" s="61" t="s">
        <v>16</v>
      </c>
      <c r="B37" s="62"/>
      <c r="C37" s="63"/>
      <c r="D37" s="63"/>
      <c r="E37" s="23">
        <v>140420</v>
      </c>
    </row>
    <row r="38" spans="1:5" x14ac:dyDescent="0.3">
      <c r="A38" s="49" t="s">
        <v>23</v>
      </c>
      <c r="B38" s="48"/>
      <c r="C38" s="59" t="s">
        <v>36</v>
      </c>
      <c r="D38" s="59"/>
      <c r="E38" s="24">
        <v>882610</v>
      </c>
    </row>
    <row r="39" spans="1:5" x14ac:dyDescent="0.3">
      <c r="A39" s="64"/>
      <c r="B39" s="65"/>
      <c r="C39" s="48"/>
      <c r="D39" s="48"/>
      <c r="E39" s="38"/>
    </row>
    <row r="40" spans="1:5" x14ac:dyDescent="0.3">
      <c r="A40" s="66" t="s">
        <v>27</v>
      </c>
      <c r="B40" s="48"/>
      <c r="C40" s="26" t="s">
        <v>44</v>
      </c>
      <c r="D40" s="26" t="s">
        <v>29</v>
      </c>
      <c r="E40" s="39"/>
    </row>
    <row r="41" spans="1:5" ht="17.25" thickBot="1" x14ac:dyDescent="0.35">
      <c r="A41" s="27" t="s">
        <v>69</v>
      </c>
      <c r="B41" s="28"/>
      <c r="C41" s="29"/>
      <c r="D41" s="29" t="s">
        <v>68</v>
      </c>
      <c r="E41" s="30"/>
    </row>
    <row r="43" spans="1:5" x14ac:dyDescent="0.3">
      <c r="B43" t="s">
        <v>30</v>
      </c>
      <c r="C43" s="41">
        <v>10030</v>
      </c>
    </row>
    <row r="44" spans="1:5" x14ac:dyDescent="0.3">
      <c r="B44" t="s">
        <v>19</v>
      </c>
      <c r="C44" s="42" t="s">
        <v>45</v>
      </c>
    </row>
    <row r="45" spans="1:5" x14ac:dyDescent="0.3">
      <c r="B45" s="42" t="s">
        <v>20</v>
      </c>
      <c r="C45" s="42" t="s">
        <v>37</v>
      </c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6775-87B4-46BF-8682-0BC2C4D593AD}">
  <dimension ref="A1:E44"/>
  <sheetViews>
    <sheetView topLeftCell="A19" zoomScale="71" zoomScaleNormal="71" workbookViewId="0">
      <selection activeCell="A42" sqref="A42"/>
    </sheetView>
  </sheetViews>
  <sheetFormatPr defaultRowHeight="16.5" x14ac:dyDescent="0.3"/>
  <cols>
    <col min="3" max="5" width="17.625" customWidth="1"/>
  </cols>
  <sheetData>
    <row r="1" spans="1:5" ht="17.25" thickBot="1" x14ac:dyDescent="0.35">
      <c r="A1" s="50" t="s">
        <v>0</v>
      </c>
      <c r="B1" s="51"/>
      <c r="C1" s="51"/>
      <c r="D1" s="51"/>
      <c r="E1" s="52"/>
    </row>
    <row r="2" spans="1:5" x14ac:dyDescent="0.3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x14ac:dyDescent="0.3">
      <c r="A3" s="53" t="s">
        <v>6</v>
      </c>
      <c r="B3" s="5">
        <v>1</v>
      </c>
      <c r="C3" s="14" t="s">
        <v>7</v>
      </c>
      <c r="D3" s="14"/>
      <c r="E3" s="15"/>
    </row>
    <row r="4" spans="1:5" x14ac:dyDescent="0.3">
      <c r="A4" s="54"/>
      <c r="B4" s="5">
        <v>2</v>
      </c>
      <c r="C4" s="14" t="s">
        <v>8</v>
      </c>
      <c r="D4" s="14"/>
      <c r="E4" s="15"/>
    </row>
    <row r="5" spans="1:5" x14ac:dyDescent="0.3">
      <c r="A5" s="54"/>
      <c r="B5" s="5">
        <v>3</v>
      </c>
      <c r="C5" s="14" t="s">
        <v>9</v>
      </c>
      <c r="D5" s="14"/>
      <c r="E5" s="31" t="s">
        <v>39</v>
      </c>
    </row>
    <row r="6" spans="1:5" x14ac:dyDescent="0.3">
      <c r="A6" s="54"/>
      <c r="B6" s="5">
        <v>4</v>
      </c>
      <c r="C6" s="33" t="s">
        <v>10</v>
      </c>
      <c r="D6" s="33">
        <v>6</v>
      </c>
      <c r="E6" s="40"/>
    </row>
    <row r="7" spans="1:5" x14ac:dyDescent="0.3">
      <c r="A7" s="54"/>
      <c r="B7" s="5">
        <v>5</v>
      </c>
      <c r="C7" s="9" t="s">
        <v>11</v>
      </c>
      <c r="D7" s="9">
        <v>6</v>
      </c>
      <c r="E7" s="12"/>
    </row>
    <row r="8" spans="1:5" x14ac:dyDescent="0.3">
      <c r="A8" s="54"/>
      <c r="B8" s="5">
        <v>6</v>
      </c>
      <c r="C8" s="9" t="s">
        <v>12</v>
      </c>
      <c r="D8" s="9">
        <v>6</v>
      </c>
      <c r="E8" s="10"/>
    </row>
    <row r="9" spans="1:5" x14ac:dyDescent="0.3">
      <c r="A9" s="54"/>
      <c r="B9" s="5">
        <v>7</v>
      </c>
      <c r="C9" s="9" t="s">
        <v>13</v>
      </c>
      <c r="D9" s="9">
        <v>6</v>
      </c>
      <c r="E9" s="36">
        <v>48144</v>
      </c>
    </row>
    <row r="10" spans="1:5" x14ac:dyDescent="0.3">
      <c r="A10" s="54"/>
      <c r="B10" s="5">
        <v>8</v>
      </c>
      <c r="C10" s="6" t="s">
        <v>7</v>
      </c>
      <c r="D10" s="6"/>
      <c r="E10" s="7"/>
    </row>
    <row r="11" spans="1:5" x14ac:dyDescent="0.3">
      <c r="A11" s="54"/>
      <c r="B11" s="5">
        <v>9</v>
      </c>
      <c r="C11" s="6" t="s">
        <v>8</v>
      </c>
      <c r="D11" s="6"/>
      <c r="E11" s="7"/>
    </row>
    <row r="12" spans="1:5" x14ac:dyDescent="0.3">
      <c r="A12" s="54"/>
      <c r="B12" s="5">
        <v>10</v>
      </c>
      <c r="C12" s="33" t="s">
        <v>9</v>
      </c>
      <c r="D12" s="33">
        <v>6</v>
      </c>
      <c r="E12" s="35"/>
    </row>
    <row r="13" spans="1:5" x14ac:dyDescent="0.3">
      <c r="A13" s="54"/>
      <c r="B13" s="5">
        <v>11</v>
      </c>
      <c r="C13" s="33" t="s">
        <v>10</v>
      </c>
      <c r="D13" s="33">
        <v>6</v>
      </c>
      <c r="E13" s="35"/>
    </row>
    <row r="14" spans="1:5" x14ac:dyDescent="0.3">
      <c r="A14" s="54"/>
      <c r="B14" s="5">
        <v>12</v>
      </c>
      <c r="C14" s="33" t="s">
        <v>11</v>
      </c>
      <c r="D14" s="33">
        <v>6</v>
      </c>
      <c r="E14" s="34"/>
    </row>
    <row r="15" spans="1:5" x14ac:dyDescent="0.3">
      <c r="A15" s="54"/>
      <c r="B15" s="5">
        <v>13</v>
      </c>
      <c r="C15" s="33" t="s">
        <v>12</v>
      </c>
      <c r="D15" s="33"/>
      <c r="E15" s="45" t="s">
        <v>38</v>
      </c>
    </row>
    <row r="16" spans="1:5" x14ac:dyDescent="0.3">
      <c r="A16" s="54"/>
      <c r="B16" s="5">
        <v>14</v>
      </c>
      <c r="C16" s="33" t="s">
        <v>13</v>
      </c>
      <c r="D16" s="33"/>
      <c r="E16" s="46" t="s">
        <v>38</v>
      </c>
    </row>
    <row r="17" spans="1:5" x14ac:dyDescent="0.3">
      <c r="A17" s="54"/>
      <c r="B17" s="5">
        <v>15</v>
      </c>
      <c r="C17" s="14" t="s">
        <v>7</v>
      </c>
      <c r="D17" s="14"/>
      <c r="E17" s="15"/>
    </row>
    <row r="18" spans="1:5" x14ac:dyDescent="0.3">
      <c r="A18" s="54"/>
      <c r="B18" s="5">
        <v>16</v>
      </c>
      <c r="C18" s="14" t="s">
        <v>8</v>
      </c>
      <c r="D18" s="14"/>
      <c r="E18" s="15"/>
    </row>
    <row r="19" spans="1:5" x14ac:dyDescent="0.3">
      <c r="A19" s="54"/>
      <c r="B19" s="5">
        <v>17</v>
      </c>
      <c r="C19" s="33" t="s">
        <v>9</v>
      </c>
      <c r="D19" s="33">
        <v>6</v>
      </c>
      <c r="E19" s="35"/>
    </row>
    <row r="20" spans="1:5" x14ac:dyDescent="0.3">
      <c r="A20" s="54"/>
      <c r="B20" s="5">
        <v>18</v>
      </c>
      <c r="C20" s="33" t="s">
        <v>10</v>
      </c>
      <c r="D20" s="33">
        <v>6</v>
      </c>
      <c r="E20" s="35"/>
    </row>
    <row r="21" spans="1:5" x14ac:dyDescent="0.3">
      <c r="A21" s="54"/>
      <c r="B21" s="5">
        <v>19</v>
      </c>
      <c r="C21" s="9" t="s">
        <v>11</v>
      </c>
      <c r="D21" s="9"/>
      <c r="E21" s="12" t="s">
        <v>40</v>
      </c>
    </row>
    <row r="22" spans="1:5" x14ac:dyDescent="0.3">
      <c r="A22" s="54"/>
      <c r="B22" s="5">
        <v>20</v>
      </c>
      <c r="C22" s="9" t="s">
        <v>12</v>
      </c>
      <c r="D22" s="9">
        <v>6</v>
      </c>
      <c r="E22" s="10"/>
    </row>
    <row r="23" spans="1:5" x14ac:dyDescent="0.3">
      <c r="A23" s="54"/>
      <c r="B23" s="5">
        <v>21</v>
      </c>
      <c r="C23" s="9" t="s">
        <v>13</v>
      </c>
      <c r="D23" s="9">
        <v>6</v>
      </c>
      <c r="E23" s="36"/>
    </row>
    <row r="24" spans="1:5" x14ac:dyDescent="0.3">
      <c r="A24" s="54"/>
      <c r="B24" s="5">
        <v>22</v>
      </c>
      <c r="C24" s="6" t="s">
        <v>7</v>
      </c>
      <c r="D24" s="6"/>
      <c r="E24" s="7"/>
    </row>
    <row r="25" spans="1:5" x14ac:dyDescent="0.3">
      <c r="A25" s="54"/>
      <c r="B25" s="5">
        <v>23</v>
      </c>
      <c r="C25" s="6" t="s">
        <v>8</v>
      </c>
      <c r="D25" s="6"/>
      <c r="E25" s="7"/>
    </row>
    <row r="26" spans="1:5" x14ac:dyDescent="0.3">
      <c r="A26" s="54"/>
      <c r="B26" s="5">
        <v>24</v>
      </c>
      <c r="C26" s="33" t="s">
        <v>9</v>
      </c>
      <c r="D26" s="33">
        <v>6</v>
      </c>
      <c r="E26" s="35"/>
    </row>
    <row r="27" spans="1:5" x14ac:dyDescent="0.3">
      <c r="A27" s="54"/>
      <c r="B27" s="5">
        <v>25</v>
      </c>
      <c r="C27" s="33" t="s">
        <v>10</v>
      </c>
      <c r="D27" s="33">
        <v>6</v>
      </c>
      <c r="E27" s="35"/>
    </row>
    <row r="28" spans="1:5" x14ac:dyDescent="0.3">
      <c r="A28" s="54"/>
      <c r="B28" s="5">
        <v>26</v>
      </c>
      <c r="C28" s="33" t="s">
        <v>11</v>
      </c>
      <c r="D28" s="33">
        <v>6</v>
      </c>
      <c r="E28" s="34"/>
    </row>
    <row r="29" spans="1:5" x14ac:dyDescent="0.3">
      <c r="A29" s="54"/>
      <c r="B29" s="5">
        <v>27</v>
      </c>
      <c r="C29" s="33" t="s">
        <v>12</v>
      </c>
      <c r="D29" s="33">
        <v>6</v>
      </c>
      <c r="E29" s="35"/>
    </row>
    <row r="30" spans="1:5" x14ac:dyDescent="0.3">
      <c r="A30" s="54"/>
      <c r="B30" s="5">
        <v>28</v>
      </c>
      <c r="C30" s="33" t="s">
        <v>13</v>
      </c>
      <c r="D30" s="33">
        <v>6</v>
      </c>
      <c r="E30" s="36">
        <v>60180</v>
      </c>
    </row>
    <row r="31" spans="1:5" x14ac:dyDescent="0.3">
      <c r="A31" s="54"/>
      <c r="B31" s="16">
        <v>29</v>
      </c>
      <c r="C31" s="14" t="s">
        <v>7</v>
      </c>
      <c r="D31" s="14"/>
      <c r="E31" s="15"/>
    </row>
    <row r="32" spans="1:5" x14ac:dyDescent="0.3">
      <c r="A32" s="54"/>
      <c r="B32" s="16">
        <v>30</v>
      </c>
      <c r="C32" s="14" t="s">
        <v>8</v>
      </c>
      <c r="D32" s="14"/>
      <c r="E32" s="15"/>
    </row>
    <row r="33" spans="1:5" x14ac:dyDescent="0.3">
      <c r="A33" s="55"/>
      <c r="B33" s="16">
        <v>31</v>
      </c>
      <c r="C33" s="33" t="s">
        <v>9</v>
      </c>
      <c r="D33" s="33">
        <v>6</v>
      </c>
      <c r="E33" s="35"/>
    </row>
    <row r="34" spans="1:5" ht="17.25" thickBot="1" x14ac:dyDescent="0.35">
      <c r="A34" s="56" t="s">
        <v>14</v>
      </c>
      <c r="B34" s="57"/>
      <c r="C34" s="57"/>
      <c r="D34" s="17">
        <f>SUM(D3:D33)</f>
        <v>102</v>
      </c>
      <c r="E34" s="37"/>
    </row>
    <row r="35" spans="1:5" x14ac:dyDescent="0.3">
      <c r="A35" s="19"/>
      <c r="B35" s="20"/>
      <c r="C35" s="20"/>
      <c r="D35" s="20"/>
      <c r="E35" s="21"/>
    </row>
    <row r="36" spans="1:5" x14ac:dyDescent="0.3">
      <c r="A36" s="61" t="s">
        <v>15</v>
      </c>
      <c r="B36" s="62"/>
      <c r="C36" s="62" t="s">
        <v>41</v>
      </c>
      <c r="D36" s="48"/>
      <c r="E36" s="23">
        <v>1023060</v>
      </c>
    </row>
    <row r="37" spans="1:5" x14ac:dyDescent="0.3">
      <c r="A37" s="61" t="s">
        <v>16</v>
      </c>
      <c r="B37" s="62"/>
      <c r="C37" s="63"/>
      <c r="D37" s="63"/>
      <c r="E37" s="23">
        <v>108324</v>
      </c>
    </row>
    <row r="38" spans="1:5" x14ac:dyDescent="0.3">
      <c r="A38" s="49" t="s">
        <v>23</v>
      </c>
      <c r="B38" s="48"/>
      <c r="C38" s="67" t="s">
        <v>42</v>
      </c>
      <c r="D38" s="59"/>
      <c r="E38" s="24">
        <v>1094049</v>
      </c>
    </row>
    <row r="39" spans="1:5" x14ac:dyDescent="0.3">
      <c r="A39" s="64"/>
      <c r="B39" s="65"/>
      <c r="C39" s="48"/>
      <c r="D39" s="48"/>
      <c r="E39" s="38"/>
    </row>
    <row r="40" spans="1:5" x14ac:dyDescent="0.3">
      <c r="A40" s="66" t="s">
        <v>66</v>
      </c>
      <c r="B40" s="48"/>
      <c r="C40" s="26" t="s">
        <v>43</v>
      </c>
      <c r="D40" s="26" t="s">
        <v>29</v>
      </c>
      <c r="E40" s="39"/>
    </row>
    <row r="41" spans="1:5" ht="17.25" thickBot="1" x14ac:dyDescent="0.35">
      <c r="A41" s="27" t="s">
        <v>67</v>
      </c>
      <c r="B41" s="28"/>
      <c r="C41" s="29"/>
      <c r="D41" s="29" t="s">
        <v>65</v>
      </c>
      <c r="E41" s="30"/>
    </row>
    <row r="42" spans="1:5" x14ac:dyDescent="0.3">
      <c r="C42" t="s">
        <v>30</v>
      </c>
      <c r="D42" s="41">
        <v>10030</v>
      </c>
    </row>
    <row r="43" spans="1:5" x14ac:dyDescent="0.3">
      <c r="B43" s="26"/>
      <c r="C43" t="s">
        <v>26</v>
      </c>
      <c r="D43" t="s">
        <v>46</v>
      </c>
    </row>
    <row r="44" spans="1:5" x14ac:dyDescent="0.3">
      <c r="C44" t="s">
        <v>25</v>
      </c>
      <c r="D44" t="s">
        <v>53</v>
      </c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4AD8-A015-49D0-90E7-5DA7FACC831E}">
  <dimension ref="A1:E45"/>
  <sheetViews>
    <sheetView topLeftCell="A28" zoomScale="78" zoomScaleNormal="78" workbookViewId="0">
      <selection activeCell="E41" sqref="E41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50" t="s">
        <v>32</v>
      </c>
      <c r="B1" s="51"/>
      <c r="C1" s="51"/>
      <c r="D1" s="51"/>
      <c r="E1" s="52"/>
    </row>
    <row r="2" spans="1:5" x14ac:dyDescent="0.3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x14ac:dyDescent="0.3">
      <c r="A3" s="53" t="s">
        <v>6</v>
      </c>
      <c r="B3" s="5">
        <v>1</v>
      </c>
      <c r="C3" s="14" t="s">
        <v>7</v>
      </c>
      <c r="D3" s="14">
        <v>7.5</v>
      </c>
      <c r="E3" s="15"/>
    </row>
    <row r="4" spans="1:5" x14ac:dyDescent="0.3">
      <c r="A4" s="54"/>
      <c r="B4" s="5">
        <v>2</v>
      </c>
      <c r="C4" s="14" t="s">
        <v>8</v>
      </c>
      <c r="D4" s="14"/>
      <c r="E4" s="47" t="s">
        <v>49</v>
      </c>
    </row>
    <row r="5" spans="1:5" x14ac:dyDescent="0.3">
      <c r="A5" s="54"/>
      <c r="B5" s="5">
        <v>3</v>
      </c>
      <c r="C5" s="14" t="s">
        <v>9</v>
      </c>
      <c r="D5" s="14">
        <v>7</v>
      </c>
      <c r="E5" s="31" t="s">
        <v>50</v>
      </c>
    </row>
    <row r="6" spans="1:5" x14ac:dyDescent="0.3">
      <c r="A6" s="54"/>
      <c r="B6" s="5">
        <v>4</v>
      </c>
      <c r="C6" s="33" t="s">
        <v>10</v>
      </c>
      <c r="D6" s="33"/>
      <c r="E6" s="40"/>
    </row>
    <row r="7" spans="1:5" x14ac:dyDescent="0.3">
      <c r="A7" s="54"/>
      <c r="B7" s="5">
        <v>5</v>
      </c>
      <c r="C7" s="9" t="s">
        <v>11</v>
      </c>
      <c r="D7" s="9"/>
      <c r="E7" s="12"/>
    </row>
    <row r="8" spans="1:5" x14ac:dyDescent="0.3">
      <c r="A8" s="54"/>
      <c r="B8" s="5">
        <v>6</v>
      </c>
      <c r="C8" s="9" t="s">
        <v>12</v>
      </c>
      <c r="D8" s="9"/>
      <c r="E8" s="10"/>
    </row>
    <row r="9" spans="1:5" x14ac:dyDescent="0.3">
      <c r="A9" s="54"/>
      <c r="B9" s="5">
        <v>7</v>
      </c>
      <c r="C9" s="9" t="s">
        <v>13</v>
      </c>
      <c r="D9" s="9"/>
      <c r="E9" s="36"/>
    </row>
    <row r="10" spans="1:5" x14ac:dyDescent="0.3">
      <c r="A10" s="54"/>
      <c r="B10" s="5">
        <v>8</v>
      </c>
      <c r="C10" s="6" t="s">
        <v>7</v>
      </c>
      <c r="D10" s="6">
        <v>7.5</v>
      </c>
      <c r="E10" s="7"/>
    </row>
    <row r="11" spans="1:5" x14ac:dyDescent="0.3">
      <c r="A11" s="54"/>
      <c r="B11" s="5">
        <v>9</v>
      </c>
      <c r="C11" s="6" t="s">
        <v>8</v>
      </c>
      <c r="D11" s="6">
        <v>7.5</v>
      </c>
      <c r="E11" s="7"/>
    </row>
    <row r="12" spans="1:5" x14ac:dyDescent="0.3">
      <c r="A12" s="54"/>
      <c r="B12" s="5">
        <v>10</v>
      </c>
      <c r="C12" s="33" t="s">
        <v>9</v>
      </c>
      <c r="D12" s="33"/>
      <c r="E12" s="35"/>
    </row>
    <row r="13" spans="1:5" x14ac:dyDescent="0.3">
      <c r="A13" s="54"/>
      <c r="B13" s="5">
        <v>11</v>
      </c>
      <c r="C13" s="33" t="s">
        <v>10</v>
      </c>
      <c r="D13" s="33"/>
      <c r="E13" s="35"/>
    </row>
    <row r="14" spans="1:5" x14ac:dyDescent="0.3">
      <c r="A14" s="54"/>
      <c r="B14" s="5">
        <v>12</v>
      </c>
      <c r="C14" s="33" t="s">
        <v>11</v>
      </c>
      <c r="D14" s="33"/>
      <c r="E14" s="34"/>
    </row>
    <row r="15" spans="1:5" x14ac:dyDescent="0.3">
      <c r="A15" s="54"/>
      <c r="B15" s="5">
        <v>13</v>
      </c>
      <c r="C15" s="33" t="s">
        <v>12</v>
      </c>
      <c r="D15" s="33"/>
      <c r="E15" s="35"/>
    </row>
    <row r="16" spans="1:5" x14ac:dyDescent="0.3">
      <c r="A16" s="54"/>
      <c r="B16" s="5">
        <v>14</v>
      </c>
      <c r="C16" s="33" t="s">
        <v>13</v>
      </c>
      <c r="D16" s="33"/>
      <c r="E16" s="36"/>
    </row>
    <row r="17" spans="1:5" x14ac:dyDescent="0.3">
      <c r="A17" s="54"/>
      <c r="B17" s="5">
        <v>15</v>
      </c>
      <c r="C17" s="14" t="s">
        <v>7</v>
      </c>
      <c r="D17" s="14">
        <v>7.5</v>
      </c>
      <c r="E17" s="15"/>
    </row>
    <row r="18" spans="1:5" x14ac:dyDescent="0.3">
      <c r="A18" s="54"/>
      <c r="B18" s="5">
        <v>16</v>
      </c>
      <c r="C18" s="14" t="s">
        <v>8</v>
      </c>
      <c r="D18" s="14">
        <v>7.5</v>
      </c>
      <c r="E18" s="15"/>
    </row>
    <row r="19" spans="1:5" x14ac:dyDescent="0.3">
      <c r="A19" s="54"/>
      <c r="B19" s="5">
        <v>17</v>
      </c>
      <c r="C19" s="33" t="s">
        <v>9</v>
      </c>
      <c r="D19" s="33"/>
      <c r="E19" s="35"/>
    </row>
    <row r="20" spans="1:5" x14ac:dyDescent="0.3">
      <c r="A20" s="54"/>
      <c r="B20" s="5">
        <v>18</v>
      </c>
      <c r="C20" s="33" t="s">
        <v>10</v>
      </c>
      <c r="D20" s="33"/>
      <c r="E20" s="35"/>
    </row>
    <row r="21" spans="1:5" x14ac:dyDescent="0.3">
      <c r="A21" s="54"/>
      <c r="B21" s="5">
        <v>19</v>
      </c>
      <c r="C21" s="9" t="s">
        <v>11</v>
      </c>
      <c r="D21" s="9"/>
      <c r="E21" s="12"/>
    </row>
    <row r="22" spans="1:5" x14ac:dyDescent="0.3">
      <c r="A22" s="54"/>
      <c r="B22" s="5">
        <v>20</v>
      </c>
      <c r="C22" s="9" t="s">
        <v>12</v>
      </c>
      <c r="D22" s="9"/>
      <c r="E22" s="10"/>
    </row>
    <row r="23" spans="1:5" x14ac:dyDescent="0.3">
      <c r="A23" s="54"/>
      <c r="B23" s="5">
        <v>21</v>
      </c>
      <c r="C23" s="9" t="s">
        <v>13</v>
      </c>
      <c r="D23" s="9"/>
      <c r="E23" s="36"/>
    </row>
    <row r="24" spans="1:5" x14ac:dyDescent="0.3">
      <c r="A24" s="54"/>
      <c r="B24" s="5">
        <v>22</v>
      </c>
      <c r="C24" s="6" t="s">
        <v>7</v>
      </c>
      <c r="D24" s="6">
        <v>7.5</v>
      </c>
      <c r="E24" s="7"/>
    </row>
    <row r="25" spans="1:5" x14ac:dyDescent="0.3">
      <c r="A25" s="54"/>
      <c r="B25" s="5">
        <v>23</v>
      </c>
      <c r="C25" s="6" t="s">
        <v>8</v>
      </c>
      <c r="D25" s="6">
        <v>7.5</v>
      </c>
      <c r="E25" s="7"/>
    </row>
    <row r="26" spans="1:5" x14ac:dyDescent="0.3">
      <c r="A26" s="54"/>
      <c r="B26" s="5">
        <v>24</v>
      </c>
      <c r="C26" s="33" t="s">
        <v>9</v>
      </c>
      <c r="D26" s="33"/>
      <c r="E26" s="35"/>
    </row>
    <row r="27" spans="1:5" x14ac:dyDescent="0.3">
      <c r="A27" s="54"/>
      <c r="B27" s="5">
        <v>25</v>
      </c>
      <c r="C27" s="33" t="s">
        <v>10</v>
      </c>
      <c r="D27" s="33"/>
      <c r="E27" s="35"/>
    </row>
    <row r="28" spans="1:5" x14ac:dyDescent="0.3">
      <c r="A28" s="54"/>
      <c r="B28" s="5">
        <v>26</v>
      </c>
      <c r="C28" s="33" t="s">
        <v>11</v>
      </c>
      <c r="D28" s="33"/>
      <c r="E28" s="34"/>
    </row>
    <row r="29" spans="1:5" x14ac:dyDescent="0.3">
      <c r="A29" s="54"/>
      <c r="B29" s="5">
        <v>27</v>
      </c>
      <c r="C29" s="33" t="s">
        <v>12</v>
      </c>
      <c r="D29" s="33"/>
      <c r="E29" s="35"/>
    </row>
    <row r="30" spans="1:5" x14ac:dyDescent="0.3">
      <c r="A30" s="54"/>
      <c r="B30" s="5">
        <v>28</v>
      </c>
      <c r="C30" s="33" t="s">
        <v>13</v>
      </c>
      <c r="D30" s="33"/>
      <c r="E30" s="36"/>
    </row>
    <row r="31" spans="1:5" x14ac:dyDescent="0.3">
      <c r="A31" s="54"/>
      <c r="B31" s="16">
        <v>29</v>
      </c>
      <c r="C31" s="14" t="s">
        <v>7</v>
      </c>
      <c r="D31" s="14">
        <v>7.5</v>
      </c>
      <c r="E31" s="15"/>
    </row>
    <row r="32" spans="1:5" x14ac:dyDescent="0.3">
      <c r="A32" s="54"/>
      <c r="B32" s="16">
        <v>30</v>
      </c>
      <c r="C32" s="14" t="s">
        <v>8</v>
      </c>
      <c r="D32" s="14">
        <v>7.5</v>
      </c>
      <c r="E32" s="15"/>
    </row>
    <row r="33" spans="1:5" x14ac:dyDescent="0.3">
      <c r="A33" s="55"/>
      <c r="B33" s="16">
        <v>31</v>
      </c>
      <c r="C33" s="33" t="s">
        <v>9</v>
      </c>
      <c r="D33" s="33"/>
      <c r="E33" s="35"/>
    </row>
    <row r="34" spans="1:5" ht="17.25" thickBot="1" x14ac:dyDescent="0.35">
      <c r="A34" s="56" t="s">
        <v>14</v>
      </c>
      <c r="B34" s="57"/>
      <c r="C34" s="57"/>
      <c r="D34" s="17">
        <f>SUM(D3:D33)</f>
        <v>74.5</v>
      </c>
      <c r="E34" s="37"/>
    </row>
    <row r="35" spans="1:5" x14ac:dyDescent="0.3">
      <c r="A35" s="19"/>
      <c r="B35" s="20"/>
      <c r="C35" s="20"/>
      <c r="D35" s="20"/>
      <c r="E35" s="21"/>
    </row>
    <row r="36" spans="1:5" x14ac:dyDescent="0.3">
      <c r="A36" s="61" t="s">
        <v>15</v>
      </c>
      <c r="B36" s="62"/>
      <c r="C36" s="62" t="s">
        <v>51</v>
      </c>
      <c r="D36" s="48"/>
      <c r="E36" s="23">
        <v>782340</v>
      </c>
    </row>
    <row r="37" spans="1:5" x14ac:dyDescent="0.3">
      <c r="A37" s="61" t="s">
        <v>16</v>
      </c>
      <c r="B37" s="62"/>
      <c r="C37" s="63"/>
      <c r="D37" s="63"/>
      <c r="E37" s="23"/>
    </row>
    <row r="38" spans="1:5" x14ac:dyDescent="0.3">
      <c r="A38" s="49" t="s">
        <v>23</v>
      </c>
      <c r="B38" s="48"/>
      <c r="C38" s="59" t="s">
        <v>70</v>
      </c>
      <c r="D38" s="59"/>
      <c r="E38" s="24">
        <v>404523</v>
      </c>
    </row>
    <row r="39" spans="1:5" x14ac:dyDescent="0.3">
      <c r="A39" s="64"/>
      <c r="B39" s="65"/>
      <c r="C39" s="48"/>
      <c r="D39" s="48"/>
      <c r="E39" s="38"/>
    </row>
    <row r="40" spans="1:5" x14ac:dyDescent="0.3">
      <c r="A40" s="66" t="s">
        <v>27</v>
      </c>
      <c r="B40" s="48"/>
      <c r="C40" s="26" t="s">
        <v>48</v>
      </c>
      <c r="D40" s="26" t="s">
        <v>29</v>
      </c>
      <c r="E40" s="39"/>
    </row>
    <row r="41" spans="1:5" ht="17.25" thickBot="1" x14ac:dyDescent="0.35">
      <c r="A41" s="27" t="s">
        <v>64</v>
      </c>
      <c r="B41" s="28"/>
      <c r="C41" s="29"/>
      <c r="D41" s="29" t="s">
        <v>63</v>
      </c>
      <c r="E41" s="30"/>
    </row>
    <row r="43" spans="1:5" x14ac:dyDescent="0.3">
      <c r="B43" t="s">
        <v>30</v>
      </c>
      <c r="C43" s="41">
        <v>10030</v>
      </c>
    </row>
    <row r="44" spans="1:5" x14ac:dyDescent="0.3">
      <c r="B44" t="s">
        <v>19</v>
      </c>
      <c r="C44" s="42" t="s">
        <v>47</v>
      </c>
    </row>
    <row r="45" spans="1:5" x14ac:dyDescent="0.3">
      <c r="B45" t="s">
        <v>20</v>
      </c>
      <c r="C45" s="42" t="s">
        <v>52</v>
      </c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50C1-435B-49FC-A3D3-70005CC3B007}">
  <dimension ref="A1:E45"/>
  <sheetViews>
    <sheetView zoomScale="78" zoomScaleNormal="78" workbookViewId="0">
      <selection activeCell="D44" sqref="D44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50" t="s">
        <v>21</v>
      </c>
      <c r="B1" s="51"/>
      <c r="C1" s="51"/>
      <c r="D1" s="51"/>
      <c r="E1" s="52"/>
    </row>
    <row r="2" spans="1:5" x14ac:dyDescent="0.3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x14ac:dyDescent="0.3">
      <c r="A3" s="53" t="s">
        <v>6</v>
      </c>
      <c r="B3" s="5">
        <v>1</v>
      </c>
      <c r="C3" s="14" t="s">
        <v>7</v>
      </c>
      <c r="D3" s="14"/>
      <c r="E3" s="15"/>
    </row>
    <row r="4" spans="1:5" x14ac:dyDescent="0.3">
      <c r="A4" s="54"/>
      <c r="B4" s="5">
        <v>2</v>
      </c>
      <c r="C4" s="14" t="s">
        <v>8</v>
      </c>
      <c r="D4" s="14"/>
      <c r="E4" s="15"/>
    </row>
    <row r="5" spans="1:5" x14ac:dyDescent="0.3">
      <c r="A5" s="54"/>
      <c r="B5" s="5">
        <v>3</v>
      </c>
      <c r="C5" s="14" t="s">
        <v>9</v>
      </c>
      <c r="D5" s="14"/>
      <c r="E5" s="31"/>
    </row>
    <row r="6" spans="1:5" x14ac:dyDescent="0.3">
      <c r="A6" s="54"/>
      <c r="B6" s="5">
        <v>4</v>
      </c>
      <c r="C6" s="33" t="s">
        <v>10</v>
      </c>
      <c r="D6" s="33">
        <v>8</v>
      </c>
      <c r="E6" s="40"/>
    </row>
    <row r="7" spans="1:5" x14ac:dyDescent="0.3">
      <c r="A7" s="54"/>
      <c r="B7" s="5">
        <v>5</v>
      </c>
      <c r="C7" s="9" t="s">
        <v>11</v>
      </c>
      <c r="D7" s="9">
        <v>8</v>
      </c>
      <c r="E7" s="12"/>
    </row>
    <row r="8" spans="1:5" x14ac:dyDescent="0.3">
      <c r="A8" s="54"/>
      <c r="B8" s="5">
        <v>6</v>
      </c>
      <c r="C8" s="9" t="s">
        <v>12</v>
      </c>
      <c r="D8" s="9">
        <v>8</v>
      </c>
      <c r="E8" s="10"/>
    </row>
    <row r="9" spans="1:5" x14ac:dyDescent="0.3">
      <c r="A9" s="54"/>
      <c r="B9" s="5">
        <v>7</v>
      </c>
      <c r="C9" s="9" t="s">
        <v>13</v>
      </c>
      <c r="D9" s="9">
        <v>8</v>
      </c>
      <c r="E9" s="36"/>
    </row>
    <row r="10" spans="1:5" x14ac:dyDescent="0.3">
      <c r="A10" s="54"/>
      <c r="B10" s="5">
        <v>8</v>
      </c>
      <c r="C10" s="6" t="s">
        <v>7</v>
      </c>
      <c r="D10" s="6"/>
      <c r="E10" s="7"/>
    </row>
    <row r="11" spans="1:5" x14ac:dyDescent="0.3">
      <c r="A11" s="54"/>
      <c r="B11" s="5">
        <v>9</v>
      </c>
      <c r="C11" s="6" t="s">
        <v>8</v>
      </c>
      <c r="D11" s="6"/>
      <c r="E11" s="7"/>
    </row>
    <row r="12" spans="1:5" x14ac:dyDescent="0.3">
      <c r="A12" s="54"/>
      <c r="B12" s="5">
        <v>10</v>
      </c>
      <c r="C12" s="33" t="s">
        <v>9</v>
      </c>
      <c r="D12" s="33">
        <v>8</v>
      </c>
      <c r="E12" s="35"/>
    </row>
    <row r="13" spans="1:5" x14ac:dyDescent="0.3">
      <c r="A13" s="54"/>
      <c r="B13" s="5">
        <v>11</v>
      </c>
      <c r="C13" s="33" t="s">
        <v>10</v>
      </c>
      <c r="D13" s="33">
        <v>8</v>
      </c>
      <c r="E13" s="35"/>
    </row>
    <row r="14" spans="1:5" x14ac:dyDescent="0.3">
      <c r="A14" s="54"/>
      <c r="B14" s="5">
        <v>12</v>
      </c>
      <c r="C14" s="33" t="s">
        <v>11</v>
      </c>
      <c r="D14" s="33">
        <v>8</v>
      </c>
      <c r="E14" s="34"/>
    </row>
    <row r="15" spans="1:5" x14ac:dyDescent="0.3">
      <c r="A15" s="54"/>
      <c r="B15" s="5">
        <v>13</v>
      </c>
      <c r="C15" s="33" t="s">
        <v>12</v>
      </c>
      <c r="D15" s="33">
        <v>8</v>
      </c>
      <c r="E15" s="35"/>
    </row>
    <row r="16" spans="1:5" x14ac:dyDescent="0.3">
      <c r="A16" s="54"/>
      <c r="B16" s="5">
        <v>14</v>
      </c>
      <c r="C16" s="33" t="s">
        <v>13</v>
      </c>
      <c r="D16" s="33">
        <v>8</v>
      </c>
      <c r="E16" s="36"/>
    </row>
    <row r="17" spans="1:5" x14ac:dyDescent="0.3">
      <c r="A17" s="54"/>
      <c r="B17" s="5">
        <v>15</v>
      </c>
      <c r="C17" s="14" t="s">
        <v>7</v>
      </c>
      <c r="D17" s="14"/>
      <c r="E17" s="15"/>
    </row>
    <row r="18" spans="1:5" x14ac:dyDescent="0.3">
      <c r="A18" s="54"/>
      <c r="B18" s="5">
        <v>16</v>
      </c>
      <c r="C18" s="14" t="s">
        <v>8</v>
      </c>
      <c r="D18" s="14"/>
      <c r="E18" s="15"/>
    </row>
    <row r="19" spans="1:5" x14ac:dyDescent="0.3">
      <c r="A19" s="54"/>
      <c r="B19" s="5">
        <v>17</v>
      </c>
      <c r="C19" s="33" t="s">
        <v>9</v>
      </c>
      <c r="D19" s="33">
        <v>8</v>
      </c>
      <c r="E19" s="35"/>
    </row>
    <row r="20" spans="1:5" x14ac:dyDescent="0.3">
      <c r="A20" s="54"/>
      <c r="B20" s="5">
        <v>18</v>
      </c>
      <c r="C20" s="33" t="s">
        <v>10</v>
      </c>
      <c r="D20" s="33">
        <v>8</v>
      </c>
      <c r="E20" s="35"/>
    </row>
    <row r="21" spans="1:5" x14ac:dyDescent="0.3">
      <c r="A21" s="54"/>
      <c r="B21" s="5">
        <v>19</v>
      </c>
      <c r="C21" s="9" t="s">
        <v>11</v>
      </c>
      <c r="D21" s="9">
        <v>8</v>
      </c>
      <c r="E21" s="12"/>
    </row>
    <row r="22" spans="1:5" x14ac:dyDescent="0.3">
      <c r="A22" s="54"/>
      <c r="B22" s="5">
        <v>20</v>
      </c>
      <c r="C22" s="9" t="s">
        <v>12</v>
      </c>
      <c r="D22" s="9">
        <v>8</v>
      </c>
      <c r="E22" s="10"/>
    </row>
    <row r="23" spans="1:5" x14ac:dyDescent="0.3">
      <c r="A23" s="54"/>
      <c r="B23" s="5">
        <v>21</v>
      </c>
      <c r="C23" s="9" t="s">
        <v>13</v>
      </c>
      <c r="D23" s="9">
        <v>8</v>
      </c>
      <c r="E23" s="36"/>
    </row>
    <row r="24" spans="1:5" x14ac:dyDescent="0.3">
      <c r="A24" s="54"/>
      <c r="B24" s="5">
        <v>22</v>
      </c>
      <c r="C24" s="6" t="s">
        <v>7</v>
      </c>
      <c r="D24" s="6"/>
      <c r="E24" s="7"/>
    </row>
    <row r="25" spans="1:5" x14ac:dyDescent="0.3">
      <c r="A25" s="54"/>
      <c r="B25" s="5">
        <v>23</v>
      </c>
      <c r="C25" s="6" t="s">
        <v>8</v>
      </c>
      <c r="D25" s="6"/>
      <c r="E25" s="7"/>
    </row>
    <row r="26" spans="1:5" x14ac:dyDescent="0.3">
      <c r="A26" s="54"/>
      <c r="B26" s="5">
        <v>24</v>
      </c>
      <c r="C26" s="33" t="s">
        <v>9</v>
      </c>
      <c r="D26" s="33">
        <v>8</v>
      </c>
      <c r="E26" s="35"/>
    </row>
    <row r="27" spans="1:5" x14ac:dyDescent="0.3">
      <c r="A27" s="54"/>
      <c r="B27" s="5">
        <v>25</v>
      </c>
      <c r="C27" s="33" t="s">
        <v>10</v>
      </c>
      <c r="D27" s="33">
        <v>8</v>
      </c>
      <c r="E27" s="35"/>
    </row>
    <row r="28" spans="1:5" x14ac:dyDescent="0.3">
      <c r="A28" s="54"/>
      <c r="B28" s="5">
        <v>26</v>
      </c>
      <c r="C28" s="33" t="s">
        <v>11</v>
      </c>
      <c r="D28" s="33">
        <v>8</v>
      </c>
      <c r="E28" s="34"/>
    </row>
    <row r="29" spans="1:5" x14ac:dyDescent="0.3">
      <c r="A29" s="54"/>
      <c r="B29" s="5">
        <v>27</v>
      </c>
      <c r="C29" s="33" t="s">
        <v>12</v>
      </c>
      <c r="D29" s="33">
        <v>8</v>
      </c>
      <c r="E29" s="35"/>
    </row>
    <row r="30" spans="1:5" x14ac:dyDescent="0.3">
      <c r="A30" s="54"/>
      <c r="B30" s="5">
        <v>28</v>
      </c>
      <c r="C30" s="33" t="s">
        <v>13</v>
      </c>
      <c r="D30" s="33">
        <v>8</v>
      </c>
      <c r="E30" s="36"/>
    </row>
    <row r="31" spans="1:5" x14ac:dyDescent="0.3">
      <c r="A31" s="54"/>
      <c r="B31" s="16">
        <v>29</v>
      </c>
      <c r="C31" s="14" t="s">
        <v>7</v>
      </c>
      <c r="D31" s="14"/>
      <c r="E31" s="15"/>
    </row>
    <row r="32" spans="1:5" x14ac:dyDescent="0.3">
      <c r="A32" s="54"/>
      <c r="B32" s="16">
        <v>30</v>
      </c>
      <c r="C32" s="14" t="s">
        <v>8</v>
      </c>
      <c r="D32" s="14"/>
      <c r="E32" s="15"/>
    </row>
    <row r="33" spans="1:5" x14ac:dyDescent="0.3">
      <c r="A33" s="55"/>
      <c r="B33" s="16">
        <v>31</v>
      </c>
      <c r="C33" s="33" t="s">
        <v>9</v>
      </c>
      <c r="D33" s="33">
        <v>8</v>
      </c>
      <c r="E33" s="35"/>
    </row>
    <row r="34" spans="1:5" ht="17.25" thickBot="1" x14ac:dyDescent="0.35">
      <c r="A34" s="56" t="s">
        <v>14</v>
      </c>
      <c r="B34" s="57"/>
      <c r="C34" s="57"/>
      <c r="D34" s="17">
        <f>SUM(D3:D33)</f>
        <v>160</v>
      </c>
      <c r="E34" s="37"/>
    </row>
    <row r="35" spans="1:5" x14ac:dyDescent="0.3">
      <c r="A35" s="19"/>
      <c r="B35" s="20"/>
      <c r="C35" s="20"/>
      <c r="D35" s="20"/>
      <c r="E35" s="21"/>
    </row>
    <row r="36" spans="1:5" x14ac:dyDescent="0.3">
      <c r="A36" s="61" t="s">
        <v>15</v>
      </c>
      <c r="B36" s="62"/>
      <c r="C36" s="62" t="s">
        <v>22</v>
      </c>
      <c r="D36" s="48"/>
      <c r="E36" s="23"/>
    </row>
    <row r="37" spans="1:5" x14ac:dyDescent="0.3">
      <c r="A37" s="61" t="s">
        <v>16</v>
      </c>
      <c r="B37" s="62"/>
      <c r="C37" s="63"/>
      <c r="D37" s="63"/>
      <c r="E37" s="23"/>
    </row>
    <row r="38" spans="1:5" x14ac:dyDescent="0.3">
      <c r="A38" s="49" t="s">
        <v>23</v>
      </c>
      <c r="B38" s="48"/>
      <c r="C38" s="59" t="s">
        <v>24</v>
      </c>
      <c r="D38" s="59"/>
      <c r="E38" s="24">
        <v>1846702</v>
      </c>
    </row>
    <row r="39" spans="1:5" x14ac:dyDescent="0.3">
      <c r="A39" s="64"/>
      <c r="B39" s="65"/>
      <c r="C39" s="48"/>
      <c r="D39" s="48"/>
      <c r="E39" s="38"/>
    </row>
    <row r="40" spans="1:5" x14ac:dyDescent="0.3">
      <c r="A40" s="66" t="s">
        <v>27</v>
      </c>
      <c r="B40" s="48"/>
      <c r="C40" s="26" t="s">
        <v>28</v>
      </c>
      <c r="D40" s="26" t="s">
        <v>29</v>
      </c>
      <c r="E40" s="39"/>
    </row>
    <row r="41" spans="1:5" ht="17.25" thickBot="1" x14ac:dyDescent="0.35">
      <c r="A41" s="27"/>
      <c r="B41" s="28"/>
      <c r="C41" s="29"/>
      <c r="D41" s="29"/>
      <c r="E41" s="30"/>
    </row>
    <row r="43" spans="1:5" x14ac:dyDescent="0.3">
      <c r="B43" t="s">
        <v>30</v>
      </c>
      <c r="C43" s="41">
        <v>10030</v>
      </c>
    </row>
    <row r="44" spans="1:5" x14ac:dyDescent="0.3">
      <c r="B44" t="s">
        <v>19</v>
      </c>
      <c r="C44" s="42"/>
      <c r="D44" t="s">
        <v>31</v>
      </c>
    </row>
    <row r="45" spans="1:5" x14ac:dyDescent="0.3">
      <c r="B45" s="22" t="s">
        <v>20</v>
      </c>
      <c r="C45" s="42"/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김예지3월</vt:lpstr>
      <vt:lpstr>나예지3월</vt:lpstr>
      <vt:lpstr>장은비3월</vt:lpstr>
      <vt:lpstr>김경민3월</vt:lpstr>
      <vt:lpstr>3월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주연 이</dc:creator>
  <cp:lastModifiedBy>ADMIN</cp:lastModifiedBy>
  <dcterms:created xsi:type="dcterms:W3CDTF">2025-04-07T07:04:47Z</dcterms:created>
  <dcterms:modified xsi:type="dcterms:W3CDTF">2025-04-12T09:27:02Z</dcterms:modified>
</cp:coreProperties>
</file>