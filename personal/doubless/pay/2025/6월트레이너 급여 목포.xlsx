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이준수" sheetId="1" r:id="rId5"/>
    <sheet state="visible" name="한길수" sheetId="2" r:id="rId6"/>
    <sheet state="visible" name="전민진" sheetId="3" r:id="rId7"/>
  </sheets>
  <definedNames/>
  <calcPr/>
</workbook>
</file>

<file path=xl/sharedStrings.xml><?xml version="1.0" encoding="utf-8"?>
<sst xmlns="http://schemas.openxmlformats.org/spreadsheetml/2006/main" count="449" uniqueCount="159">
  <si>
    <t>PAYROLL</t>
  </si>
  <si>
    <t>작성자</t>
  </si>
  <si>
    <t>이준수</t>
  </si>
  <si>
    <t>총 인원</t>
  </si>
  <si>
    <t>남</t>
  </si>
  <si>
    <t>여</t>
  </si>
  <si>
    <t>단가 평균</t>
  </si>
  <si>
    <t>총 수업수</t>
  </si>
  <si>
    <t>잔여세션</t>
  </si>
  <si>
    <t>개인매출</t>
  </si>
  <si>
    <t>개인매출/VAT</t>
  </si>
  <si>
    <t>기준 월</t>
  </si>
  <si>
    <t>6월</t>
  </si>
  <si>
    <t>NO.</t>
  </si>
  <si>
    <t>회원명</t>
  </si>
  <si>
    <t>성별</t>
  </si>
  <si>
    <t>등록세션</t>
  </si>
  <si>
    <t>총 진행
세션</t>
  </si>
  <si>
    <t>남은
세션</t>
  </si>
  <si>
    <t>결제
형태</t>
  </si>
  <si>
    <t>등록비용</t>
  </si>
  <si>
    <t>(공급가)</t>
  </si>
  <si>
    <t>1회단가</t>
  </si>
  <si>
    <t>매출대비%</t>
  </si>
  <si>
    <t>수업료</t>
  </si>
  <si>
    <t>당월
진행세션</t>
  </si>
  <si>
    <t>이달의매출</t>
  </si>
  <si>
    <t>김여진</t>
  </si>
  <si>
    <t>계좌</t>
  </si>
  <si>
    <t>이름</t>
  </si>
  <si>
    <t>결제형태</t>
  </si>
  <si>
    <t>결제금액</t>
  </si>
  <si>
    <t>공금가액</t>
  </si>
  <si>
    <t>황상은</t>
  </si>
  <si>
    <t>카드</t>
  </si>
  <si>
    <t>배순림</t>
  </si>
  <si>
    <t>서강영</t>
  </si>
  <si>
    <t>김수철</t>
  </si>
  <si>
    <t>권영란</t>
  </si>
  <si>
    <t>이미선</t>
  </si>
  <si>
    <t>김경민</t>
  </si>
  <si>
    <t>오본</t>
  </si>
  <si>
    <t>김현숙</t>
  </si>
  <si>
    <t>현금</t>
  </si>
  <si>
    <t>장희주</t>
  </si>
  <si>
    <t>김현정</t>
  </si>
  <si>
    <t>이현수</t>
  </si>
  <si>
    <t>카드+계좌</t>
  </si>
  <si>
    <t>이은지</t>
  </si>
  <si>
    <t>박승자</t>
  </si>
  <si>
    <t>김형지</t>
  </si>
  <si>
    <t>김현</t>
  </si>
  <si>
    <t>김태오</t>
  </si>
  <si>
    <t>김희성</t>
  </si>
  <si>
    <t>하승현</t>
  </si>
  <si>
    <t>배혜린</t>
  </si>
  <si>
    <t>김원배</t>
  </si>
  <si>
    <t>이선영</t>
  </si>
  <si>
    <t>추연미</t>
  </si>
  <si>
    <t>박예지</t>
  </si>
  <si>
    <t>김승윤</t>
  </si>
  <si>
    <t>고준혁</t>
  </si>
  <si>
    <t>송은아</t>
  </si>
  <si>
    <t>김윤하</t>
  </si>
  <si>
    <t>손혜림</t>
  </si>
  <si>
    <t>송지은</t>
  </si>
  <si>
    <t>송지현</t>
  </si>
  <si>
    <t>조혜선</t>
  </si>
  <si>
    <t>박지은</t>
  </si>
  <si>
    <t>진우섭</t>
  </si>
  <si>
    <t>윤수정</t>
  </si>
  <si>
    <t>이윤지</t>
  </si>
  <si>
    <t>한세정</t>
  </si>
  <si>
    <t>PT개인매출</t>
  </si>
  <si>
    <t>남정중</t>
  </si>
  <si>
    <t>인계 매출</t>
  </si>
  <si>
    <t>박만숙</t>
  </si>
  <si>
    <t>총 매출</t>
  </si>
  <si>
    <t xml:space="preserve">기본급+인센티브(12일) </t>
  </si>
  <si>
    <t>수업료(17일)</t>
  </si>
  <si>
    <t>총 급여</t>
  </si>
  <si>
    <t>550만원미만달성 매출급여 110만원 40%</t>
  </si>
  <si>
    <t>550만원달성 매출급여 125만원 45%</t>
  </si>
  <si>
    <t>800만원달성 매출급여 140만원 50%</t>
  </si>
  <si>
    <t>1000만원달성 매출급여 155만원 50%</t>
  </si>
  <si>
    <t>1200만원달성 매출급여 180만원 50%</t>
  </si>
  <si>
    <t>1400만원달성 매출급여 200만원 50%</t>
  </si>
  <si>
    <t>1600만원달성 매출급여 220만원 50%</t>
  </si>
  <si>
    <t>1800만원달성 매출급여 240만원 50%</t>
  </si>
  <si>
    <t>2000만원달성 매출급여 260만원 50%</t>
  </si>
  <si>
    <t>한길수</t>
  </si>
  <si>
    <t>정욱</t>
  </si>
  <si>
    <t>김주홍</t>
  </si>
  <si>
    <t>손주희</t>
  </si>
  <si>
    <t>김영훈</t>
  </si>
  <si>
    <t>안수정</t>
  </si>
  <si>
    <t>김은진</t>
  </si>
  <si>
    <t>김성환</t>
  </si>
  <si>
    <t>조수안</t>
  </si>
  <si>
    <t>양다미</t>
  </si>
  <si>
    <t>김나연</t>
  </si>
  <si>
    <t>최진솔</t>
  </si>
  <si>
    <t>강효빈</t>
  </si>
  <si>
    <t>김지선</t>
  </si>
  <si>
    <t>김진솔</t>
  </si>
  <si>
    <t>김현서</t>
  </si>
  <si>
    <t>허지은</t>
  </si>
  <si>
    <t>백경락</t>
  </si>
  <si>
    <t>김세진</t>
  </si>
  <si>
    <t>윤지호</t>
  </si>
  <si>
    <t>윤아름</t>
  </si>
  <si>
    <t>김승현</t>
  </si>
  <si>
    <t>김동현</t>
  </si>
  <si>
    <t>정보윤</t>
  </si>
  <si>
    <t>나미라</t>
  </si>
  <si>
    <t>안세림</t>
  </si>
  <si>
    <t>조형선</t>
  </si>
  <si>
    <t>손영은</t>
  </si>
  <si>
    <t>김도연</t>
  </si>
  <si>
    <t>이예빈</t>
  </si>
  <si>
    <t>이하나</t>
  </si>
  <si>
    <t>박수현</t>
  </si>
  <si>
    <t>최은희</t>
  </si>
  <si>
    <t>정다운</t>
  </si>
  <si>
    <t>550만원미만달성 매출급여 90만원 40%</t>
  </si>
  <si>
    <t>550만원달성 매출급여 105만원 45%</t>
  </si>
  <si>
    <t>800만원달성 매출급여 120만원 50%</t>
  </si>
  <si>
    <t>1000만원달성 매출급여 135만원 50%</t>
  </si>
  <si>
    <t>박영춘</t>
  </si>
  <si>
    <t>1200만원달성 매출급여 160만원 50%</t>
  </si>
  <si>
    <t>1400만원달성 매출급여 180만원 50%</t>
  </si>
  <si>
    <t>1600만원달성 매출급여 200만원 50%</t>
  </si>
  <si>
    <t>1800만원달성 매출급여 220만원 50%</t>
  </si>
  <si>
    <t>2000만원달성 매출급여 240만원 50%</t>
  </si>
  <si>
    <t>전민진</t>
  </si>
  <si>
    <t>4월</t>
  </si>
  <si>
    <t>이소연</t>
  </si>
  <si>
    <t>이체</t>
  </si>
  <si>
    <t>최명호</t>
  </si>
  <si>
    <t>김홍성</t>
  </si>
  <si>
    <t>이윤희</t>
  </si>
  <si>
    <t>변민호</t>
  </si>
  <si>
    <t>신수빈</t>
  </si>
  <si>
    <t>정유라</t>
  </si>
  <si>
    <t>황보라</t>
  </si>
  <si>
    <t>윤시연</t>
  </si>
  <si>
    <t>최효순</t>
  </si>
  <si>
    <t xml:space="preserve"> 박종호</t>
  </si>
  <si>
    <t>김세령</t>
  </si>
  <si>
    <t>김정호</t>
  </si>
  <si>
    <t>류아연</t>
  </si>
  <si>
    <t>김윤기</t>
  </si>
  <si>
    <t>김중식</t>
  </si>
  <si>
    <t>강나루</t>
  </si>
  <si>
    <t>정윤성</t>
  </si>
  <si>
    <t>김지현</t>
  </si>
  <si>
    <t>이연지</t>
  </si>
  <si>
    <t xml:space="preserve">기본급+인센티브(11일) </t>
  </si>
  <si>
    <t>수업료(16일)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</si>
</sst>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0&quot;명&quot;"/>
    <numFmt numFmtId="165" formatCode="_-* #,##0_-;\-* #,##0_-;_-* &quot;-&quot;_-;_-@"/>
    <numFmt numFmtId="166" formatCode="_-&quot;₩&quot;* #,##0_-;\-&quot;₩&quot;* #,##0_-;_-&quot;₩&quot;* &quot;-&quot;_-;_-@"/>
    <numFmt numFmtId="167" formatCode="0_);[Red]\(0\)"/>
    <numFmt numFmtId="168" formatCode="#,##0_);\(#,##0\)"/>
    <numFmt numFmtId="169" formatCode="&quot;₩&quot;#,##0_);[Red]\(&quot;₩&quot;#,##0\)"/>
    <numFmt numFmtId="170" formatCode="&quot;₩&quot;#,##0;[Red]\-&quot;₩&quot;#,##0"/>
  </numFmts>
  <fonts count="21">
    <font>
      <sz val="11.0"/>
      <color rgb="FF000000"/>
      <name val="Calibri"/>
      <scheme val="minor"/>
    </font>
    <font>
      <b/>
      <sz val="36.0"/>
      <color theme="0"/>
      <name val="Gulim"/>
    </font>
    <font/>
    <font>
      <b/>
      <sz val="12.0"/>
      <color theme="0"/>
      <name val="Gulim"/>
    </font>
    <font>
      <sz val="11.0"/>
      <color rgb="FF000000"/>
      <name val="Malgun Gothic"/>
    </font>
    <font>
      <b/>
      <sz val="12.0"/>
      <color theme="0"/>
      <name val="Dotum"/>
    </font>
    <font>
      <b/>
      <sz val="12.0"/>
      <color theme="0"/>
      <name val="Malgun Gothic"/>
    </font>
    <font>
      <b/>
      <sz val="11.0"/>
      <color rgb="FF000000"/>
      <name val="Gulim"/>
    </font>
    <font>
      <b/>
      <sz val="11.0"/>
      <color rgb="FF000000"/>
      <name val="Dotum"/>
    </font>
    <font>
      <b/>
      <sz val="11.0"/>
      <color rgb="FF000000"/>
      <name val="Malgun Gothic"/>
    </font>
    <font>
      <sz val="11.0"/>
      <color rgb="FF000000"/>
      <name val="Dotum"/>
    </font>
    <font>
      <b/>
      <sz val="12.0"/>
      <color rgb="FF000000"/>
      <name val="Gulim"/>
    </font>
    <font>
      <sz val="11.0"/>
      <color rgb="FF000000"/>
      <name val="Gulim"/>
    </font>
    <font>
      <sz val="11.0"/>
      <color theme="1"/>
      <name val="Malgun Gothic"/>
    </font>
    <font>
      <b/>
      <sz val="12.0"/>
      <color rgb="FF000000"/>
      <name val="Malgun Gothic"/>
    </font>
    <font>
      <sz val="14.0"/>
      <color rgb="FFC00000"/>
      <name val="Malgun Gothic"/>
    </font>
    <font>
      <sz val="11.0"/>
      <color rgb="FFFFFF00"/>
      <name val="Gulim"/>
    </font>
    <font>
      <sz val="11.0"/>
      <color rgb="FFFFFF00"/>
      <name val="Dotum"/>
    </font>
    <font>
      <b/>
      <sz val="20.0"/>
      <color theme="0"/>
      <name val="Gulim"/>
    </font>
    <font>
      <b/>
      <sz val="16.0"/>
      <color rgb="FF000000"/>
      <name val="Malgun Gothic"/>
    </font>
    <font>
      <b/>
      <sz val="12.0"/>
      <color theme="1"/>
      <name val="Malgun Gothic"/>
    </font>
  </fonts>
  <fills count="7">
    <fill>
      <patternFill patternType="none"/>
    </fill>
    <fill>
      <patternFill patternType="lightGray"/>
    </fill>
    <fill>
      <patternFill patternType="solid">
        <fgColor rgb="FFE36C09"/>
        <bgColor rgb="FFE36C09"/>
      </patternFill>
    </fill>
    <fill>
      <patternFill patternType="solid">
        <fgColor rgb="FFFFFF00"/>
        <bgColor rgb="FFFFFF00"/>
      </patternFill>
    </fill>
    <fill>
      <patternFill patternType="solid">
        <fgColor rgb="FFFBD4B4"/>
        <bgColor rgb="FFFBD4B4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</fills>
  <borders count="24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bottom/>
    </border>
    <border>
      <bottom/>
    </border>
    <border>
      <right style="double">
        <color rgb="FF000000"/>
      </right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thin">
        <color rgb="FF000000"/>
      </left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4" fillId="2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4" fillId="2" fontId="5" numFmtId="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5" fillId="0" fontId="2" numFmtId="0" xfId="0" applyAlignment="1" applyBorder="1" applyFont="1">
      <alignment vertical="center"/>
    </xf>
    <xf borderId="6" fillId="0" fontId="2" numFmtId="0" xfId="0" applyAlignment="1" applyBorder="1" applyFont="1">
      <alignment vertical="center"/>
    </xf>
    <xf borderId="7" fillId="0" fontId="2" numFmtId="0" xfId="0" applyAlignment="1" applyBorder="1" applyFont="1">
      <alignment vertical="center"/>
    </xf>
    <xf borderId="4" fillId="3" fontId="7" numFmtId="164" xfId="0" applyAlignment="1" applyBorder="1" applyFill="1" applyFont="1" applyNumberFormat="1">
      <alignment horizontal="center" vertical="center"/>
    </xf>
    <xf borderId="4" fillId="3" fontId="8" numFmtId="165" xfId="0" applyAlignment="1" applyBorder="1" applyFont="1" applyNumberFormat="1">
      <alignment vertical="center"/>
    </xf>
    <xf borderId="8" fillId="3" fontId="8" numFmtId="0" xfId="0" applyAlignment="1" applyBorder="1" applyFont="1">
      <alignment horizontal="center" vertical="center"/>
    </xf>
    <xf borderId="8" fillId="3" fontId="9" numFmtId="0" xfId="0" applyAlignment="1" applyBorder="1" applyFont="1">
      <alignment horizontal="center" vertical="center"/>
    </xf>
    <xf borderId="4" fillId="3" fontId="10" numFmtId="166" xfId="0" applyAlignment="1" applyBorder="1" applyFont="1" applyNumberFormat="1">
      <alignment vertical="center"/>
    </xf>
    <xf borderId="9" fillId="2" fontId="3" numFmtId="0" xfId="0" applyAlignment="1" applyBorder="1" applyFont="1">
      <alignment horizontal="center" shrinkToFit="0" vertical="center" wrapText="1"/>
    </xf>
    <xf borderId="9" fillId="2" fontId="3" numFmtId="167" xfId="0" applyAlignment="1" applyBorder="1" applyFont="1" applyNumberFormat="1">
      <alignment horizontal="center" shrinkToFit="0" vertical="center" wrapText="1"/>
    </xf>
    <xf borderId="10" fillId="4" fontId="11" numFmtId="0" xfId="0" applyAlignment="1" applyBorder="1" applyFill="1" applyFont="1">
      <alignment horizontal="center" shrinkToFit="0" vertical="center" wrapText="1"/>
    </xf>
    <xf borderId="11" fillId="0" fontId="2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borderId="13" fillId="0" fontId="12" numFmtId="0" xfId="0" applyAlignment="1" applyBorder="1" applyFont="1">
      <alignment horizontal="center" vertical="center"/>
    </xf>
    <xf borderId="14" fillId="5" fontId="13" numFmtId="0" xfId="0" applyAlignment="1" applyBorder="1" applyFill="1" applyFont="1">
      <alignment horizontal="center" vertical="center"/>
    </xf>
    <xf borderId="14" fillId="5" fontId="4" numFmtId="0" xfId="0" applyAlignment="1" applyBorder="1" applyFont="1">
      <alignment horizontal="center" vertical="center"/>
    </xf>
    <xf borderId="14" fillId="0" fontId="4" numFmtId="0" xfId="0" applyAlignment="1" applyBorder="1" applyFont="1">
      <alignment horizontal="center" vertical="center"/>
    </xf>
    <xf borderId="14" fillId="3" fontId="12" numFmtId="0" xfId="0" applyAlignment="1" applyBorder="1" applyFont="1">
      <alignment horizontal="center" vertical="center"/>
    </xf>
    <xf borderId="14" fillId="0" fontId="12" numFmtId="0" xfId="0" applyAlignment="1" applyBorder="1" applyFont="1">
      <alignment horizontal="center" vertical="center"/>
    </xf>
    <xf borderId="14" fillId="0" fontId="4" numFmtId="166" xfId="0" applyAlignment="1" applyBorder="1" applyFont="1" applyNumberFormat="1">
      <alignment horizontal="center" vertical="center"/>
    </xf>
    <xf borderId="15" fillId="3" fontId="12" numFmtId="166" xfId="0" applyAlignment="1" applyBorder="1" applyFont="1" applyNumberFormat="1">
      <alignment horizontal="center" vertical="center"/>
    </xf>
    <xf borderId="14" fillId="3" fontId="4" numFmtId="165" xfId="0" applyAlignment="1" applyBorder="1" applyFont="1" applyNumberFormat="1">
      <alignment vertical="center"/>
    </xf>
    <xf borderId="15" fillId="4" fontId="9" numFmtId="10" xfId="0" applyAlignment="1" applyBorder="1" applyFont="1" applyNumberFormat="1">
      <alignment horizontal="center" vertical="center"/>
    </xf>
    <xf borderId="14" fillId="3" fontId="4" numFmtId="166" xfId="0" applyAlignment="1" applyBorder="1" applyFont="1" applyNumberFormat="1">
      <alignment vertical="center"/>
    </xf>
    <xf borderId="16" fillId="5" fontId="4" numFmtId="0" xfId="0" applyAlignment="1" applyBorder="1" applyFont="1">
      <alignment horizontal="center" vertical="center"/>
    </xf>
    <xf borderId="16" fillId="3" fontId="4" numFmtId="166" xfId="0" applyAlignment="1" applyBorder="1" applyFont="1" applyNumberFormat="1">
      <alignment vertical="center"/>
    </xf>
    <xf borderId="4" fillId="3" fontId="12" numFmtId="0" xfId="0" applyAlignment="1" applyBorder="1" applyFont="1">
      <alignment horizontal="center" vertical="center"/>
    </xf>
    <xf borderId="0" fillId="0" fontId="10" numFmtId="0" xfId="0" applyAlignment="1" applyFont="1">
      <alignment vertical="center"/>
    </xf>
    <xf borderId="4" fillId="0" fontId="13" numFmtId="165" xfId="0" applyAlignment="1" applyBorder="1" applyFont="1" applyNumberFormat="1">
      <alignment horizontal="center" vertical="center"/>
    </xf>
    <xf borderId="4" fillId="0" fontId="13" numFmtId="165" xfId="0" applyAlignment="1" applyBorder="1" applyFont="1" applyNumberFormat="1">
      <alignment vertical="center"/>
    </xf>
    <xf borderId="4" fillId="0" fontId="7" numFmtId="165" xfId="0" applyAlignment="1" applyBorder="1" applyFont="1" applyNumberFormat="1">
      <alignment horizontal="center" vertical="center"/>
    </xf>
    <xf borderId="14" fillId="0" fontId="13" numFmtId="0" xfId="0" applyAlignment="1" applyBorder="1" applyFont="1">
      <alignment horizontal="center" shrinkToFit="0" vertical="center" wrapText="1"/>
    </xf>
    <xf borderId="4" fillId="0" fontId="13" numFmtId="168" xfId="0" applyAlignment="1" applyBorder="1" applyFont="1" applyNumberFormat="1">
      <alignment vertical="center"/>
    </xf>
    <xf borderId="0" fillId="0" fontId="4" numFmtId="9" xfId="0" applyAlignment="1" applyFont="1" applyNumberFormat="1">
      <alignment horizontal="center" vertical="center"/>
    </xf>
    <xf borderId="0" fillId="0" fontId="4" numFmtId="169" xfId="0" applyAlignment="1" applyFont="1" applyNumberFormat="1">
      <alignment horizontal="center" vertical="center"/>
    </xf>
    <xf borderId="14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horizontal="center" vertical="center"/>
    </xf>
    <xf borderId="4" fillId="5" fontId="4" numFmtId="165" xfId="0" applyAlignment="1" applyBorder="1" applyFont="1" applyNumberFormat="1">
      <alignment horizontal="center" vertical="center"/>
    </xf>
    <xf borderId="4" fillId="5" fontId="4" numFmtId="165" xfId="0" applyAlignment="1" applyBorder="1" applyFont="1" applyNumberFormat="1">
      <alignment vertical="center"/>
    </xf>
    <xf borderId="0" fillId="0" fontId="9" numFmtId="0" xfId="0" applyAlignment="1" applyFont="1">
      <alignment horizontal="center" vertical="center"/>
    </xf>
    <xf borderId="4" fillId="0" fontId="12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14" fillId="0" fontId="12" numFmtId="166" xfId="0" applyAlignment="1" applyBorder="1" applyFont="1" applyNumberFormat="1">
      <alignment horizontal="center" vertical="center"/>
    </xf>
    <xf borderId="17" fillId="0" fontId="4" numFmtId="0" xfId="0" applyAlignment="1" applyBorder="1" applyFont="1">
      <alignment horizontal="center" vertical="center"/>
    </xf>
    <xf borderId="14" fillId="5" fontId="12" numFmtId="166" xfId="0" applyAlignment="1" applyBorder="1" applyFont="1" applyNumberFormat="1">
      <alignment horizontal="center" vertical="center"/>
    </xf>
    <xf borderId="10" fillId="6" fontId="16" numFmtId="0" xfId="0" applyAlignment="1" applyBorder="1" applyFill="1" applyFont="1">
      <alignment horizontal="center" vertical="center"/>
    </xf>
    <xf borderId="4" fillId="6" fontId="16" numFmtId="166" xfId="0" applyAlignment="1" applyBorder="1" applyFont="1" applyNumberFormat="1">
      <alignment horizontal="center" vertical="center"/>
    </xf>
    <xf borderId="4" fillId="6" fontId="16" numFmtId="0" xfId="0" applyAlignment="1" applyBorder="1" applyFont="1">
      <alignment horizontal="center" vertical="center"/>
    </xf>
    <xf borderId="4" fillId="6" fontId="17" numFmtId="166" xfId="0" applyAlignment="1" applyBorder="1" applyFont="1" applyNumberFormat="1">
      <alignment vertical="center"/>
    </xf>
    <xf borderId="1" fillId="2" fontId="18" numFmtId="0" xfId="0" applyAlignment="1" applyBorder="1" applyFont="1">
      <alignment horizontal="center" vertical="center"/>
    </xf>
    <xf borderId="18" fillId="4" fontId="19" numFmtId="166" xfId="0" applyAlignment="1" applyBorder="1" applyFont="1" applyNumberFormat="1">
      <alignment horizontal="center" vertical="center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2" fillId="0" fontId="2" numFmtId="0" xfId="0" applyAlignment="1" applyBorder="1" applyFont="1">
      <alignment vertical="center"/>
    </xf>
    <xf borderId="18" fillId="3" fontId="19" numFmtId="166" xfId="0" applyAlignment="1" applyBorder="1" applyFont="1" applyNumberFormat="1">
      <alignment horizontal="center" vertical="center"/>
    </xf>
    <xf borderId="10" fillId="2" fontId="18" numFmtId="0" xfId="0" applyAlignment="1" applyBorder="1" applyFont="1">
      <alignment horizontal="center" vertical="center"/>
    </xf>
    <xf borderId="4" fillId="3" fontId="19" numFmtId="166" xfId="0" applyAlignment="1" applyBorder="1" applyFont="1" applyNumberFormat="1">
      <alignment horizontal="center" vertical="center"/>
    </xf>
    <xf borderId="4" fillId="2" fontId="18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10" fillId="4" fontId="20" numFmtId="0" xfId="0" applyAlignment="1" applyBorder="1" applyFont="1">
      <alignment horizontal="center" vertical="center"/>
    </xf>
    <xf borderId="15" fillId="5" fontId="13" numFmtId="0" xfId="0" applyAlignment="1" applyBorder="1" applyFont="1">
      <alignment horizontal="center" vertical="center"/>
    </xf>
    <xf borderId="15" fillId="5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5" fillId="3" fontId="12" numFmtId="0" xfId="0" applyAlignment="1" applyBorder="1" applyFont="1">
      <alignment horizontal="center" vertical="center"/>
    </xf>
    <xf borderId="13" fillId="0" fontId="4" numFmtId="166" xfId="0" applyAlignment="1" applyBorder="1" applyFont="1" applyNumberFormat="1">
      <alignment horizontal="center" vertical="center"/>
    </xf>
    <xf borderId="15" fillId="3" fontId="4" numFmtId="165" xfId="0" applyAlignment="1" applyBorder="1" applyFont="1" applyNumberFormat="1">
      <alignment vertical="center"/>
    </xf>
    <xf borderId="15" fillId="3" fontId="4" numFmtId="166" xfId="0" applyAlignment="1" applyBorder="1" applyFont="1" applyNumberFormat="1">
      <alignment vertical="center"/>
    </xf>
    <xf borderId="23" fillId="5" fontId="4" numFmtId="0" xfId="0" applyAlignment="1" applyBorder="1" applyFont="1">
      <alignment horizontal="center" vertical="center"/>
    </xf>
    <xf borderId="23" fillId="3" fontId="4" numFmtId="166" xfId="0" applyAlignment="1" applyBorder="1" applyFont="1" applyNumberFormat="1">
      <alignment vertical="center"/>
    </xf>
    <xf borderId="17" fillId="0" fontId="4" numFmtId="0" xfId="0" applyAlignment="1" applyBorder="1" applyFont="1">
      <alignment vertical="center"/>
    </xf>
    <xf borderId="13" fillId="0" fontId="4" numFmtId="170" xfId="0" applyAlignment="1" applyBorder="1" applyFont="1" applyNumberFormat="1">
      <alignment horizontal="center" vertical="center"/>
    </xf>
    <xf borderId="15" fillId="3" fontId="12" numFmtId="170" xfId="0" applyAlignment="1" applyBorder="1" applyFont="1" applyNumberFormat="1">
      <alignment horizontal="center" vertical="center"/>
    </xf>
    <xf borderId="15" fillId="3" fontId="4" numFmtId="170" xfId="0" applyAlignment="1" applyBorder="1" applyFont="1" applyNumberFormat="1">
      <alignment vertical="center"/>
    </xf>
    <xf borderId="14" fillId="0" fontId="4" numFmtId="170" xfId="0" applyAlignment="1" applyBorder="1" applyFont="1" applyNumberFormat="1">
      <alignment horizontal="center" vertical="center"/>
    </xf>
    <xf borderId="14" fillId="3" fontId="4" numFmtId="170" xfId="0" applyAlignment="1" applyBorder="1" applyFont="1" applyNumberFormat="1">
      <alignment vertical="center"/>
    </xf>
    <xf borderId="16" fillId="5" fontId="4" numFmtId="0" xfId="0" applyAlignment="1" applyBorder="1" applyFon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2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COUNTA(B4:B40)</f>
        <v>37</v>
      </c>
      <c r="L2" s="14">
        <f>COUNTIFS(C4:C40,"남")</f>
        <v>9</v>
      </c>
      <c r="M2" s="14">
        <f>COUNTIFS(C4:C40,"여")</f>
        <v>28</v>
      </c>
      <c r="N2" s="15">
        <f>AVERAGEIF(J4:J39,"&gt;0",J4:J39)</f>
        <v>40000</v>
      </c>
      <c r="O2" s="16">
        <f>SUM(M4:M45)</f>
        <v>210</v>
      </c>
      <c r="P2" s="17">
        <f>SUM(F4:F40)</f>
        <v>292</v>
      </c>
      <c r="Q2" s="18">
        <f t="shared" ref="Q2:R2" si="1">SUM(Q5:Q35)</f>
        <v>8910000</v>
      </c>
      <c r="R2" s="18">
        <f t="shared" si="1"/>
        <v>8100000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25" t="s">
        <v>27</v>
      </c>
      <c r="C4" s="26" t="s">
        <v>5</v>
      </c>
      <c r="D4" s="27">
        <v>10.0</v>
      </c>
      <c r="E4" s="27">
        <v>3.0</v>
      </c>
      <c r="F4" s="28">
        <v>7.0</v>
      </c>
      <c r="G4" s="29" t="s">
        <v>28</v>
      </c>
      <c r="H4" s="30">
        <v>440000.0</v>
      </c>
      <c r="I4" s="31">
        <f t="shared" ref="I4:I45" si="2">IF(G4="현금",H4,H4/1.1)</f>
        <v>400000</v>
      </c>
      <c r="J4" s="32">
        <f t="shared" ref="J4:J45" si="3">I4/D4</f>
        <v>40000</v>
      </c>
      <c r="K4" s="33">
        <v>0.4</v>
      </c>
      <c r="L4" s="34">
        <f t="shared" ref="L4:L45" si="4">PRODUCT(K4,J4)</f>
        <v>16000</v>
      </c>
      <c r="M4" s="35">
        <v>2.0</v>
      </c>
      <c r="N4" s="36">
        <f t="shared" ref="N4:N45" si="5">PRODUCT(M4,L4)</f>
        <v>32000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4">
        <v>2.0</v>
      </c>
      <c r="B5" s="25" t="s">
        <v>33</v>
      </c>
      <c r="C5" s="26" t="s">
        <v>5</v>
      </c>
      <c r="D5" s="27">
        <v>10.0</v>
      </c>
      <c r="E5" s="27">
        <v>10.0</v>
      </c>
      <c r="F5" s="28">
        <f t="shared" ref="F5:F45" si="6">D5-E5</f>
        <v>0</v>
      </c>
      <c r="G5" s="29" t="s">
        <v>34</v>
      </c>
      <c r="H5" s="30">
        <v>440000.0</v>
      </c>
      <c r="I5" s="31">
        <f t="shared" si="2"/>
        <v>400000</v>
      </c>
      <c r="J5" s="32">
        <f t="shared" si="3"/>
        <v>40000</v>
      </c>
      <c r="K5" s="33">
        <v>0.4</v>
      </c>
      <c r="L5" s="34">
        <f t="shared" si="4"/>
        <v>16000</v>
      </c>
      <c r="M5" s="35">
        <v>5.0</v>
      </c>
      <c r="N5" s="36">
        <f t="shared" si="5"/>
        <v>80000</v>
      </c>
      <c r="O5" s="39" t="s">
        <v>35</v>
      </c>
      <c r="P5" s="40" t="s">
        <v>34</v>
      </c>
      <c r="Q5" s="40">
        <v>1320000.0</v>
      </c>
      <c r="R5" s="31">
        <f t="shared" ref="R5:R35" si="7">IF(P5="현금",Q5,Q5/1.1)</f>
        <v>1200000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4">
        <v>3.0</v>
      </c>
      <c r="B6" s="25" t="s">
        <v>36</v>
      </c>
      <c r="C6" s="26" t="s">
        <v>4</v>
      </c>
      <c r="D6" s="27">
        <v>10.0</v>
      </c>
      <c r="E6" s="27">
        <v>7.0</v>
      </c>
      <c r="F6" s="28">
        <f t="shared" si="6"/>
        <v>3</v>
      </c>
      <c r="G6" s="29" t="s">
        <v>34</v>
      </c>
      <c r="H6" s="30">
        <v>440000.0</v>
      </c>
      <c r="I6" s="31">
        <f t="shared" si="2"/>
        <v>400000</v>
      </c>
      <c r="J6" s="32">
        <f t="shared" si="3"/>
        <v>40000</v>
      </c>
      <c r="K6" s="33">
        <v>0.4</v>
      </c>
      <c r="L6" s="34">
        <f t="shared" si="4"/>
        <v>16000</v>
      </c>
      <c r="M6" s="35">
        <v>2.0</v>
      </c>
      <c r="N6" s="36">
        <f t="shared" si="5"/>
        <v>32000</v>
      </c>
      <c r="O6" s="39" t="s">
        <v>37</v>
      </c>
      <c r="P6" s="40" t="s">
        <v>28</v>
      </c>
      <c r="Q6" s="40">
        <v>1760000.0</v>
      </c>
      <c r="R6" s="31">
        <f t="shared" si="7"/>
        <v>1600000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4">
        <v>4.0</v>
      </c>
      <c r="B7" s="25" t="s">
        <v>38</v>
      </c>
      <c r="C7" s="26" t="s">
        <v>5</v>
      </c>
      <c r="D7" s="27">
        <v>20.0</v>
      </c>
      <c r="E7" s="27">
        <v>20.0</v>
      </c>
      <c r="F7" s="28">
        <f t="shared" si="6"/>
        <v>0</v>
      </c>
      <c r="G7" s="29" t="s">
        <v>34</v>
      </c>
      <c r="H7" s="30">
        <v>880000.0</v>
      </c>
      <c r="I7" s="31">
        <f t="shared" si="2"/>
        <v>800000</v>
      </c>
      <c r="J7" s="32">
        <f t="shared" si="3"/>
        <v>40000</v>
      </c>
      <c r="K7" s="33">
        <v>0.4</v>
      </c>
      <c r="L7" s="34">
        <f t="shared" si="4"/>
        <v>16000</v>
      </c>
      <c r="M7" s="35">
        <v>3.0</v>
      </c>
      <c r="N7" s="36">
        <f t="shared" si="5"/>
        <v>48000</v>
      </c>
      <c r="O7" s="39" t="s">
        <v>39</v>
      </c>
      <c r="P7" s="40" t="s">
        <v>34</v>
      </c>
      <c r="Q7" s="40">
        <v>1760000.0</v>
      </c>
      <c r="R7" s="31">
        <f t="shared" si="7"/>
        <v>1600000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4">
        <v>5.0</v>
      </c>
      <c r="B8" s="25" t="s">
        <v>40</v>
      </c>
      <c r="C8" s="26" t="s">
        <v>4</v>
      </c>
      <c r="D8" s="27">
        <v>12.0</v>
      </c>
      <c r="E8" s="27">
        <v>12.0</v>
      </c>
      <c r="F8" s="28">
        <f t="shared" si="6"/>
        <v>0</v>
      </c>
      <c r="G8" s="29" t="s">
        <v>34</v>
      </c>
      <c r="H8" s="30">
        <v>132000.0</v>
      </c>
      <c r="I8" s="31">
        <f t="shared" si="2"/>
        <v>120000</v>
      </c>
      <c r="J8" s="32">
        <f t="shared" si="3"/>
        <v>10000</v>
      </c>
      <c r="K8" s="33">
        <v>0.4</v>
      </c>
      <c r="L8" s="34">
        <f t="shared" si="4"/>
        <v>4000</v>
      </c>
      <c r="M8" s="35">
        <v>12.0</v>
      </c>
      <c r="N8" s="36">
        <f t="shared" si="5"/>
        <v>48000</v>
      </c>
      <c r="O8" s="39" t="s">
        <v>41</v>
      </c>
      <c r="P8" s="40" t="s">
        <v>34</v>
      </c>
      <c r="Q8" s="40">
        <v>880000.0</v>
      </c>
      <c r="R8" s="31">
        <f t="shared" si="7"/>
        <v>800000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4">
        <v>6.0</v>
      </c>
      <c r="B9" s="25" t="s">
        <v>42</v>
      </c>
      <c r="C9" s="26" t="s">
        <v>5</v>
      </c>
      <c r="D9" s="27">
        <v>20.0</v>
      </c>
      <c r="E9" s="27">
        <v>7.0</v>
      </c>
      <c r="F9" s="28">
        <f t="shared" si="6"/>
        <v>13</v>
      </c>
      <c r="G9" s="29" t="s">
        <v>43</v>
      </c>
      <c r="H9" s="30">
        <v>880000.0</v>
      </c>
      <c r="I9" s="31">
        <f t="shared" si="2"/>
        <v>880000</v>
      </c>
      <c r="J9" s="32">
        <f t="shared" si="3"/>
        <v>44000</v>
      </c>
      <c r="K9" s="33">
        <v>0.4</v>
      </c>
      <c r="L9" s="34">
        <f t="shared" si="4"/>
        <v>17600</v>
      </c>
      <c r="M9" s="35">
        <v>4.0</v>
      </c>
      <c r="N9" s="36">
        <f t="shared" si="5"/>
        <v>70400</v>
      </c>
      <c r="O9" s="39" t="s">
        <v>44</v>
      </c>
      <c r="P9" s="40" t="s">
        <v>34</v>
      </c>
      <c r="Q9" s="40">
        <v>440000.0</v>
      </c>
      <c r="R9" s="31">
        <f t="shared" si="7"/>
        <v>400000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4">
        <v>7.0</v>
      </c>
      <c r="B10" s="25" t="s">
        <v>45</v>
      </c>
      <c r="C10" s="26" t="s">
        <v>5</v>
      </c>
      <c r="D10" s="27">
        <v>50.0</v>
      </c>
      <c r="E10" s="27">
        <v>3.0</v>
      </c>
      <c r="F10" s="28">
        <f t="shared" si="6"/>
        <v>47</v>
      </c>
      <c r="G10" s="29" t="s">
        <v>34</v>
      </c>
      <c r="H10" s="30">
        <v>2200000.0</v>
      </c>
      <c r="I10" s="31">
        <f t="shared" si="2"/>
        <v>2000000</v>
      </c>
      <c r="J10" s="32">
        <f t="shared" si="3"/>
        <v>40000</v>
      </c>
      <c r="K10" s="33">
        <v>0.4</v>
      </c>
      <c r="L10" s="34">
        <f t="shared" si="4"/>
        <v>16000</v>
      </c>
      <c r="M10" s="35">
        <v>3.0</v>
      </c>
      <c r="N10" s="36">
        <f t="shared" si="5"/>
        <v>48000</v>
      </c>
      <c r="O10" s="41" t="s">
        <v>46</v>
      </c>
      <c r="P10" s="40" t="s">
        <v>28</v>
      </c>
      <c r="Q10" s="40">
        <v>550000.0</v>
      </c>
      <c r="R10" s="31">
        <f t="shared" si="7"/>
        <v>500000</v>
      </c>
      <c r="S10" s="10"/>
      <c r="T10" s="10"/>
      <c r="U10" s="10"/>
      <c r="V10" s="10"/>
      <c r="W10" s="10"/>
      <c r="X10" s="10"/>
      <c r="Y10" s="38"/>
      <c r="Z10" s="10"/>
    </row>
    <row r="11" ht="18.75" customHeight="1">
      <c r="A11" s="24">
        <v>8.0</v>
      </c>
      <c r="B11" s="25" t="s">
        <v>45</v>
      </c>
      <c r="C11" s="26" t="s">
        <v>5</v>
      </c>
      <c r="D11" s="27">
        <v>20.0</v>
      </c>
      <c r="E11" s="27">
        <v>20.0</v>
      </c>
      <c r="F11" s="28">
        <f t="shared" si="6"/>
        <v>0</v>
      </c>
      <c r="G11" s="29" t="s">
        <v>47</v>
      </c>
      <c r="H11" s="30">
        <v>880000.0</v>
      </c>
      <c r="I11" s="31">
        <f t="shared" si="2"/>
        <v>800000</v>
      </c>
      <c r="J11" s="32">
        <f t="shared" si="3"/>
        <v>40000</v>
      </c>
      <c r="K11" s="33">
        <v>0.4</v>
      </c>
      <c r="L11" s="34">
        <f t="shared" si="4"/>
        <v>16000</v>
      </c>
      <c r="M11" s="35">
        <v>7.0</v>
      </c>
      <c r="N11" s="36">
        <f t="shared" si="5"/>
        <v>112000</v>
      </c>
      <c r="O11" s="41" t="s">
        <v>48</v>
      </c>
      <c r="P11" s="40" t="s">
        <v>34</v>
      </c>
      <c r="Q11" s="40">
        <v>880000.0</v>
      </c>
      <c r="R11" s="31">
        <f t="shared" si="7"/>
        <v>800000</v>
      </c>
      <c r="S11" s="10"/>
      <c r="T11" s="10"/>
      <c r="U11" s="10"/>
      <c r="V11" s="10"/>
      <c r="W11" s="10"/>
      <c r="X11" s="10"/>
      <c r="Y11" s="38"/>
      <c r="Z11" s="10"/>
    </row>
    <row r="12" ht="18.75" customHeight="1">
      <c r="A12" s="24">
        <v>9.0</v>
      </c>
      <c r="B12" s="25" t="s">
        <v>49</v>
      </c>
      <c r="C12" s="26" t="s">
        <v>5</v>
      </c>
      <c r="D12" s="27">
        <v>30.0</v>
      </c>
      <c r="E12" s="27">
        <v>16.0</v>
      </c>
      <c r="F12" s="28">
        <f t="shared" si="6"/>
        <v>14</v>
      </c>
      <c r="G12" s="29" t="s">
        <v>43</v>
      </c>
      <c r="H12" s="30">
        <v>1320000.0</v>
      </c>
      <c r="I12" s="31">
        <f t="shared" si="2"/>
        <v>1320000</v>
      </c>
      <c r="J12" s="32">
        <f t="shared" si="3"/>
        <v>44000</v>
      </c>
      <c r="K12" s="33">
        <v>0.4</v>
      </c>
      <c r="L12" s="34">
        <f t="shared" si="4"/>
        <v>17600</v>
      </c>
      <c r="M12" s="35">
        <v>7.0</v>
      </c>
      <c r="N12" s="36">
        <f t="shared" si="5"/>
        <v>123200</v>
      </c>
      <c r="O12" s="41" t="s">
        <v>50</v>
      </c>
      <c r="P12" s="40" t="s">
        <v>34</v>
      </c>
      <c r="Q12" s="40">
        <v>440000.0</v>
      </c>
      <c r="R12" s="31">
        <f t="shared" si="7"/>
        <v>400000</v>
      </c>
      <c r="S12" s="10"/>
      <c r="T12" s="10"/>
      <c r="U12" s="10"/>
      <c r="V12" s="10"/>
      <c r="W12" s="10"/>
      <c r="X12" s="10"/>
      <c r="Y12" s="38"/>
      <c r="Z12" s="10"/>
    </row>
    <row r="13" ht="18.75" customHeight="1">
      <c r="A13" s="24">
        <v>10.0</v>
      </c>
      <c r="B13" s="25" t="s">
        <v>51</v>
      </c>
      <c r="C13" s="26" t="s">
        <v>5</v>
      </c>
      <c r="D13" s="27">
        <v>50.0</v>
      </c>
      <c r="E13" s="27">
        <v>5.0</v>
      </c>
      <c r="F13" s="28">
        <f t="shared" si="6"/>
        <v>45</v>
      </c>
      <c r="G13" s="29" t="s">
        <v>34</v>
      </c>
      <c r="H13" s="30">
        <v>2200000.0</v>
      </c>
      <c r="I13" s="31">
        <f t="shared" si="2"/>
        <v>2000000</v>
      </c>
      <c r="J13" s="32">
        <f t="shared" si="3"/>
        <v>40000</v>
      </c>
      <c r="K13" s="33">
        <v>0.4</v>
      </c>
      <c r="L13" s="34">
        <f t="shared" si="4"/>
        <v>16000</v>
      </c>
      <c r="M13" s="35">
        <v>5.0</v>
      </c>
      <c r="N13" s="36">
        <f t="shared" si="5"/>
        <v>80000</v>
      </c>
      <c r="O13" s="39" t="s">
        <v>52</v>
      </c>
      <c r="P13" s="40" t="s">
        <v>28</v>
      </c>
      <c r="Q13" s="40">
        <v>440000.0</v>
      </c>
      <c r="R13" s="31">
        <f t="shared" si="7"/>
        <v>400000</v>
      </c>
      <c r="S13" s="10"/>
      <c r="T13" s="10"/>
      <c r="U13" s="10"/>
      <c r="V13" s="10"/>
      <c r="W13" s="10"/>
      <c r="X13" s="10"/>
      <c r="Y13" s="38"/>
      <c r="Z13" s="10"/>
    </row>
    <row r="14" ht="18.75" customHeight="1">
      <c r="A14" s="24">
        <v>11.0</v>
      </c>
      <c r="B14" s="25" t="s">
        <v>53</v>
      </c>
      <c r="C14" s="26" t="s">
        <v>5</v>
      </c>
      <c r="D14" s="27">
        <v>50.0</v>
      </c>
      <c r="E14" s="27">
        <v>16.0</v>
      </c>
      <c r="F14" s="28">
        <f t="shared" si="6"/>
        <v>34</v>
      </c>
      <c r="G14" s="29" t="s">
        <v>34</v>
      </c>
      <c r="H14" s="30">
        <v>2200000.0</v>
      </c>
      <c r="I14" s="31">
        <f t="shared" si="2"/>
        <v>2000000</v>
      </c>
      <c r="J14" s="32">
        <f t="shared" si="3"/>
        <v>40000</v>
      </c>
      <c r="K14" s="33">
        <v>0.4</v>
      </c>
      <c r="L14" s="34">
        <f t="shared" si="4"/>
        <v>16000</v>
      </c>
      <c r="M14" s="35">
        <v>13.0</v>
      </c>
      <c r="N14" s="36">
        <f t="shared" si="5"/>
        <v>208000</v>
      </c>
      <c r="O14" s="39" t="s">
        <v>54</v>
      </c>
      <c r="P14" s="40" t="s">
        <v>34</v>
      </c>
      <c r="Q14" s="40">
        <v>440000.0</v>
      </c>
      <c r="R14" s="31">
        <f t="shared" si="7"/>
        <v>400000</v>
      </c>
      <c r="S14" s="10"/>
      <c r="T14" s="10"/>
      <c r="U14" s="10"/>
      <c r="V14" s="10"/>
      <c r="W14" s="10"/>
      <c r="X14" s="10"/>
      <c r="Y14" s="38"/>
      <c r="Z14" s="10"/>
    </row>
    <row r="15" ht="18.75" customHeight="1">
      <c r="A15" s="24">
        <v>12.0</v>
      </c>
      <c r="B15" s="25" t="s">
        <v>55</v>
      </c>
      <c r="C15" s="26" t="s">
        <v>5</v>
      </c>
      <c r="D15" s="27">
        <v>10.0</v>
      </c>
      <c r="E15" s="27">
        <v>10.0</v>
      </c>
      <c r="F15" s="28">
        <f t="shared" si="6"/>
        <v>0</v>
      </c>
      <c r="G15" s="29" t="s">
        <v>34</v>
      </c>
      <c r="H15" s="30">
        <v>440000.0</v>
      </c>
      <c r="I15" s="31">
        <f t="shared" si="2"/>
        <v>400000</v>
      </c>
      <c r="J15" s="32">
        <f t="shared" si="3"/>
        <v>40000</v>
      </c>
      <c r="K15" s="33">
        <v>0.4</v>
      </c>
      <c r="L15" s="34">
        <f t="shared" si="4"/>
        <v>16000</v>
      </c>
      <c r="M15" s="35">
        <v>2.0</v>
      </c>
      <c r="N15" s="36">
        <f t="shared" si="5"/>
        <v>32000</v>
      </c>
      <c r="O15" s="39"/>
      <c r="P15" s="40"/>
      <c r="Q15" s="40"/>
      <c r="R15" s="31">
        <f t="shared" si="7"/>
        <v>0</v>
      </c>
      <c r="S15" s="10"/>
      <c r="T15" s="10"/>
      <c r="U15" s="10"/>
      <c r="V15" s="10"/>
      <c r="W15" s="10"/>
      <c r="X15" s="10"/>
      <c r="Y15" s="38"/>
      <c r="Z15" s="10"/>
    </row>
    <row r="16" ht="18.75" customHeight="1">
      <c r="A16" s="24">
        <v>13.0</v>
      </c>
      <c r="B16" s="25" t="s">
        <v>56</v>
      </c>
      <c r="C16" s="26" t="s">
        <v>4</v>
      </c>
      <c r="D16" s="27">
        <v>20.0</v>
      </c>
      <c r="E16" s="27">
        <v>12.0</v>
      </c>
      <c r="F16" s="28">
        <f t="shared" si="6"/>
        <v>8</v>
      </c>
      <c r="G16" s="29" t="s">
        <v>34</v>
      </c>
      <c r="H16" s="30">
        <v>880000.0</v>
      </c>
      <c r="I16" s="31">
        <f t="shared" si="2"/>
        <v>800000</v>
      </c>
      <c r="J16" s="32">
        <f t="shared" si="3"/>
        <v>40000</v>
      </c>
      <c r="K16" s="33">
        <v>0.4</v>
      </c>
      <c r="L16" s="34">
        <f t="shared" si="4"/>
        <v>16000</v>
      </c>
      <c r="M16" s="35">
        <v>8.0</v>
      </c>
      <c r="N16" s="36">
        <f t="shared" si="5"/>
        <v>128000</v>
      </c>
      <c r="O16" s="39"/>
      <c r="P16" s="40"/>
      <c r="Q16" s="40"/>
      <c r="R16" s="31">
        <f t="shared" si="7"/>
        <v>0</v>
      </c>
      <c r="S16" s="10"/>
      <c r="T16" s="10"/>
      <c r="U16" s="10"/>
      <c r="V16" s="10"/>
      <c r="W16" s="10"/>
      <c r="X16" s="10"/>
      <c r="Y16" s="38"/>
      <c r="Z16" s="10"/>
    </row>
    <row r="17" ht="18.75" customHeight="1">
      <c r="A17" s="24">
        <v>14.0</v>
      </c>
      <c r="B17" s="42" t="s">
        <v>35</v>
      </c>
      <c r="C17" s="26" t="s">
        <v>5</v>
      </c>
      <c r="D17" s="27">
        <v>30.0</v>
      </c>
      <c r="E17" s="27">
        <v>30.0</v>
      </c>
      <c r="F17" s="28">
        <f t="shared" si="6"/>
        <v>0</v>
      </c>
      <c r="G17" s="29" t="s">
        <v>34</v>
      </c>
      <c r="H17" s="30">
        <v>1320000.0</v>
      </c>
      <c r="I17" s="31">
        <f t="shared" si="2"/>
        <v>1200000</v>
      </c>
      <c r="J17" s="32">
        <f t="shared" si="3"/>
        <v>40000</v>
      </c>
      <c r="K17" s="33">
        <v>0.4</v>
      </c>
      <c r="L17" s="34">
        <f t="shared" si="4"/>
        <v>16000</v>
      </c>
      <c r="M17" s="35">
        <v>7.0</v>
      </c>
      <c r="N17" s="36">
        <f t="shared" si="5"/>
        <v>112000</v>
      </c>
      <c r="O17" s="39"/>
      <c r="P17" s="40"/>
      <c r="Q17" s="43"/>
      <c r="R17" s="31">
        <f t="shared" si="7"/>
        <v>0</v>
      </c>
      <c r="S17" s="10"/>
      <c r="T17" s="10"/>
      <c r="U17" s="10"/>
      <c r="V17" s="10"/>
      <c r="W17" s="10"/>
      <c r="X17" s="10"/>
      <c r="Y17" s="38"/>
      <c r="Z17" s="10"/>
    </row>
    <row r="18" ht="18.75" customHeight="1">
      <c r="A18" s="24">
        <v>15.0</v>
      </c>
      <c r="B18" s="42" t="s">
        <v>57</v>
      </c>
      <c r="C18" s="26" t="s">
        <v>5</v>
      </c>
      <c r="D18" s="27">
        <v>20.0</v>
      </c>
      <c r="E18" s="27">
        <v>20.0</v>
      </c>
      <c r="F18" s="28">
        <f t="shared" si="6"/>
        <v>0</v>
      </c>
      <c r="G18" s="29" t="s">
        <v>34</v>
      </c>
      <c r="H18" s="30">
        <v>880000.0</v>
      </c>
      <c r="I18" s="31">
        <f t="shared" si="2"/>
        <v>800000</v>
      </c>
      <c r="J18" s="32">
        <f t="shared" si="3"/>
        <v>40000</v>
      </c>
      <c r="K18" s="33">
        <v>0.4</v>
      </c>
      <c r="L18" s="34">
        <f t="shared" si="4"/>
        <v>16000</v>
      </c>
      <c r="M18" s="35">
        <v>3.0</v>
      </c>
      <c r="N18" s="36">
        <f t="shared" si="5"/>
        <v>48000</v>
      </c>
      <c r="O18" s="39"/>
      <c r="P18" s="39"/>
      <c r="Q18" s="40"/>
      <c r="R18" s="31">
        <f t="shared" si="7"/>
        <v>0</v>
      </c>
      <c r="S18" s="10"/>
      <c r="T18" s="10"/>
      <c r="U18" s="10"/>
      <c r="V18" s="10"/>
      <c r="W18" s="10"/>
      <c r="X18" s="10"/>
      <c r="Y18" s="38"/>
      <c r="Z18" s="10"/>
    </row>
    <row r="19" ht="18.75" customHeight="1">
      <c r="A19" s="24">
        <v>16.0</v>
      </c>
      <c r="B19" s="25" t="s">
        <v>58</v>
      </c>
      <c r="C19" s="26" t="s">
        <v>5</v>
      </c>
      <c r="D19" s="27">
        <v>10.0</v>
      </c>
      <c r="E19" s="27">
        <v>10.0</v>
      </c>
      <c r="F19" s="28">
        <f t="shared" si="6"/>
        <v>0</v>
      </c>
      <c r="G19" s="29" t="s">
        <v>28</v>
      </c>
      <c r="H19" s="30">
        <v>440000.0</v>
      </c>
      <c r="I19" s="31">
        <f t="shared" si="2"/>
        <v>400000</v>
      </c>
      <c r="J19" s="32">
        <f t="shared" si="3"/>
        <v>40000</v>
      </c>
      <c r="K19" s="33">
        <v>0.4</v>
      </c>
      <c r="L19" s="34">
        <f t="shared" si="4"/>
        <v>16000</v>
      </c>
      <c r="M19" s="35">
        <v>5.0</v>
      </c>
      <c r="N19" s="36">
        <f t="shared" si="5"/>
        <v>80000</v>
      </c>
      <c r="O19" s="39"/>
      <c r="P19" s="39"/>
      <c r="Q19" s="40"/>
      <c r="R19" s="31">
        <f t="shared" si="7"/>
        <v>0</v>
      </c>
      <c r="S19" s="44"/>
      <c r="T19" s="10"/>
      <c r="U19" s="45"/>
      <c r="V19" s="45"/>
      <c r="W19" s="10"/>
      <c r="X19" s="10"/>
      <c r="Y19" s="38"/>
      <c r="Z19" s="10"/>
    </row>
    <row r="20" ht="18.75" customHeight="1">
      <c r="A20" s="24">
        <v>17.0</v>
      </c>
      <c r="B20" s="25" t="s">
        <v>59</v>
      </c>
      <c r="C20" s="26" t="s">
        <v>5</v>
      </c>
      <c r="D20" s="27">
        <v>20.0</v>
      </c>
      <c r="E20" s="27">
        <v>11.0</v>
      </c>
      <c r="F20" s="28">
        <f t="shared" si="6"/>
        <v>9</v>
      </c>
      <c r="G20" s="29" t="s">
        <v>34</v>
      </c>
      <c r="H20" s="30">
        <v>1100000.0</v>
      </c>
      <c r="I20" s="31">
        <f t="shared" si="2"/>
        <v>1000000</v>
      </c>
      <c r="J20" s="32">
        <f t="shared" si="3"/>
        <v>50000</v>
      </c>
      <c r="K20" s="33">
        <v>0.4</v>
      </c>
      <c r="L20" s="34">
        <f t="shared" si="4"/>
        <v>20000</v>
      </c>
      <c r="M20" s="35">
        <v>7.0</v>
      </c>
      <c r="N20" s="36">
        <f t="shared" si="5"/>
        <v>140000</v>
      </c>
      <c r="O20" s="39"/>
      <c r="P20" s="39"/>
      <c r="Q20" s="40"/>
      <c r="R20" s="31">
        <f t="shared" si="7"/>
        <v>0</v>
      </c>
      <c r="S20" s="44"/>
      <c r="T20" s="10"/>
      <c r="U20" s="45"/>
      <c r="V20" s="10"/>
      <c r="W20" s="10"/>
      <c r="X20" s="10"/>
      <c r="Y20" s="38"/>
      <c r="Z20" s="10"/>
    </row>
    <row r="21" ht="18.75" customHeight="1">
      <c r="A21" s="24">
        <v>18.0</v>
      </c>
      <c r="B21" s="25" t="s">
        <v>60</v>
      </c>
      <c r="C21" s="26" t="s">
        <v>4</v>
      </c>
      <c r="D21" s="27">
        <v>10.0</v>
      </c>
      <c r="E21" s="27">
        <v>10.0</v>
      </c>
      <c r="F21" s="28">
        <f t="shared" si="6"/>
        <v>0</v>
      </c>
      <c r="G21" s="29" t="s">
        <v>34</v>
      </c>
      <c r="H21" s="30">
        <v>440000.0</v>
      </c>
      <c r="I21" s="31">
        <f t="shared" si="2"/>
        <v>400000</v>
      </c>
      <c r="J21" s="32">
        <f t="shared" si="3"/>
        <v>40000</v>
      </c>
      <c r="K21" s="33">
        <v>0.4</v>
      </c>
      <c r="L21" s="34">
        <f t="shared" si="4"/>
        <v>16000</v>
      </c>
      <c r="M21" s="35">
        <v>2.0</v>
      </c>
      <c r="N21" s="36">
        <f t="shared" si="5"/>
        <v>32000</v>
      </c>
      <c r="O21" s="39"/>
      <c r="P21" s="39"/>
      <c r="Q21" s="40"/>
      <c r="R21" s="31">
        <f t="shared" si="7"/>
        <v>0</v>
      </c>
      <c r="S21" s="44"/>
      <c r="T21" s="10"/>
      <c r="U21" s="45"/>
      <c r="V21" s="45"/>
      <c r="W21" s="10"/>
      <c r="X21" s="10"/>
      <c r="Y21" s="38"/>
      <c r="Z21" s="10"/>
    </row>
    <row r="22" ht="18.75" customHeight="1">
      <c r="A22" s="24">
        <v>19.0</v>
      </c>
      <c r="B22" s="25" t="s">
        <v>61</v>
      </c>
      <c r="C22" s="26" t="s">
        <v>4</v>
      </c>
      <c r="D22" s="27">
        <v>10.0</v>
      </c>
      <c r="E22" s="27">
        <v>10.0</v>
      </c>
      <c r="F22" s="28">
        <f t="shared" si="6"/>
        <v>0</v>
      </c>
      <c r="G22" s="29" t="s">
        <v>34</v>
      </c>
      <c r="H22" s="30">
        <v>440000.0</v>
      </c>
      <c r="I22" s="31">
        <f t="shared" si="2"/>
        <v>400000</v>
      </c>
      <c r="J22" s="32">
        <f t="shared" si="3"/>
        <v>40000</v>
      </c>
      <c r="K22" s="33">
        <v>0.4</v>
      </c>
      <c r="L22" s="34">
        <f t="shared" si="4"/>
        <v>16000</v>
      </c>
      <c r="M22" s="35">
        <v>6.0</v>
      </c>
      <c r="N22" s="36">
        <f t="shared" si="5"/>
        <v>96000</v>
      </c>
      <c r="O22" s="39"/>
      <c r="P22" s="39"/>
      <c r="Q22" s="40"/>
      <c r="R22" s="31">
        <f t="shared" si="7"/>
        <v>0</v>
      </c>
      <c r="S22" s="44"/>
      <c r="T22" s="10"/>
      <c r="U22" s="45"/>
      <c r="V22" s="45"/>
      <c r="W22" s="10"/>
      <c r="X22" s="10"/>
      <c r="Y22" s="38"/>
      <c r="Z22" s="10"/>
    </row>
    <row r="23" ht="18.75" customHeight="1">
      <c r="A23" s="24">
        <v>20.0</v>
      </c>
      <c r="B23" s="25" t="s">
        <v>62</v>
      </c>
      <c r="C23" s="26" t="s">
        <v>5</v>
      </c>
      <c r="D23" s="26">
        <v>20.0</v>
      </c>
      <c r="E23" s="26">
        <v>10.0</v>
      </c>
      <c r="F23" s="28">
        <f t="shared" si="6"/>
        <v>10</v>
      </c>
      <c r="G23" s="29" t="s">
        <v>34</v>
      </c>
      <c r="H23" s="30">
        <v>880000.0</v>
      </c>
      <c r="I23" s="31">
        <f t="shared" si="2"/>
        <v>800000</v>
      </c>
      <c r="J23" s="32">
        <f t="shared" si="3"/>
        <v>40000</v>
      </c>
      <c r="K23" s="33">
        <v>0.4</v>
      </c>
      <c r="L23" s="34">
        <f t="shared" si="4"/>
        <v>16000</v>
      </c>
      <c r="M23" s="35">
        <v>2.0</v>
      </c>
      <c r="N23" s="36">
        <f t="shared" si="5"/>
        <v>32000</v>
      </c>
      <c r="O23" s="39"/>
      <c r="P23" s="39"/>
      <c r="Q23" s="40"/>
      <c r="R23" s="31">
        <f t="shared" si="7"/>
        <v>0</v>
      </c>
      <c r="S23" s="44"/>
      <c r="T23" s="10"/>
      <c r="U23" s="45"/>
      <c r="V23" s="45"/>
      <c r="W23" s="10"/>
      <c r="X23" s="10"/>
      <c r="Y23" s="38"/>
      <c r="Z23" s="10"/>
    </row>
    <row r="24" ht="18.75" customHeight="1">
      <c r="A24" s="24">
        <v>21.0</v>
      </c>
      <c r="B24" s="25" t="s">
        <v>63</v>
      </c>
      <c r="C24" s="26" t="s">
        <v>5</v>
      </c>
      <c r="D24" s="25">
        <v>30.0</v>
      </c>
      <c r="E24" s="25">
        <v>18.0</v>
      </c>
      <c r="F24" s="28">
        <f t="shared" si="6"/>
        <v>12</v>
      </c>
      <c r="G24" s="29" t="s">
        <v>34</v>
      </c>
      <c r="H24" s="30">
        <v>1320000.0</v>
      </c>
      <c r="I24" s="31">
        <f t="shared" si="2"/>
        <v>1200000</v>
      </c>
      <c r="J24" s="32">
        <f t="shared" si="3"/>
        <v>40000</v>
      </c>
      <c r="K24" s="33">
        <v>0.4</v>
      </c>
      <c r="L24" s="34">
        <f t="shared" si="4"/>
        <v>16000</v>
      </c>
      <c r="M24" s="35">
        <v>2.0</v>
      </c>
      <c r="N24" s="36">
        <f t="shared" si="5"/>
        <v>32000</v>
      </c>
      <c r="O24" s="39"/>
      <c r="P24" s="40"/>
      <c r="Q24" s="40"/>
      <c r="R24" s="31">
        <f t="shared" si="7"/>
        <v>0</v>
      </c>
      <c r="S24" s="44"/>
      <c r="T24" s="10"/>
      <c r="U24" s="45"/>
      <c r="V24" s="10"/>
      <c r="W24" s="10"/>
      <c r="X24" s="10"/>
      <c r="Y24" s="38"/>
      <c r="Z24" s="10"/>
    </row>
    <row r="25" ht="18.75" customHeight="1">
      <c r="A25" s="24">
        <v>22.0</v>
      </c>
      <c r="B25" s="25" t="s">
        <v>37</v>
      </c>
      <c r="C25" s="26" t="s">
        <v>4</v>
      </c>
      <c r="D25" s="26">
        <v>20.0</v>
      </c>
      <c r="E25" s="26">
        <v>20.0</v>
      </c>
      <c r="F25" s="28">
        <f t="shared" si="6"/>
        <v>0</v>
      </c>
      <c r="G25" s="29" t="s">
        <v>28</v>
      </c>
      <c r="H25" s="30">
        <v>880000.0</v>
      </c>
      <c r="I25" s="31">
        <f t="shared" si="2"/>
        <v>800000</v>
      </c>
      <c r="J25" s="32">
        <f t="shared" si="3"/>
        <v>40000</v>
      </c>
      <c r="K25" s="33">
        <v>0.4</v>
      </c>
      <c r="L25" s="34">
        <f t="shared" si="4"/>
        <v>16000</v>
      </c>
      <c r="M25" s="35">
        <v>7.0</v>
      </c>
      <c r="N25" s="36">
        <f t="shared" si="5"/>
        <v>112000</v>
      </c>
      <c r="O25" s="39"/>
      <c r="P25" s="40"/>
      <c r="Q25" s="40"/>
      <c r="R25" s="31">
        <f t="shared" si="7"/>
        <v>0</v>
      </c>
      <c r="S25" s="44"/>
      <c r="T25" s="10"/>
      <c r="U25" s="45"/>
      <c r="V25" s="45"/>
      <c r="W25" s="10"/>
      <c r="X25" s="10"/>
      <c r="Y25" s="38"/>
      <c r="Z25" s="10"/>
    </row>
    <row r="26" ht="18.75" customHeight="1">
      <c r="A26" s="24">
        <v>23.0</v>
      </c>
      <c r="B26" s="25" t="s">
        <v>64</v>
      </c>
      <c r="C26" s="26" t="s">
        <v>5</v>
      </c>
      <c r="D26" s="26">
        <v>10.0</v>
      </c>
      <c r="E26" s="26">
        <v>8.0</v>
      </c>
      <c r="F26" s="28">
        <f t="shared" si="6"/>
        <v>2</v>
      </c>
      <c r="G26" s="29" t="s">
        <v>34</v>
      </c>
      <c r="H26" s="30">
        <v>440000.0</v>
      </c>
      <c r="I26" s="31">
        <f t="shared" si="2"/>
        <v>400000</v>
      </c>
      <c r="J26" s="32">
        <f t="shared" si="3"/>
        <v>40000</v>
      </c>
      <c r="K26" s="33">
        <v>0.4</v>
      </c>
      <c r="L26" s="34">
        <f t="shared" si="4"/>
        <v>16000</v>
      </c>
      <c r="M26" s="35">
        <v>7.0</v>
      </c>
      <c r="N26" s="36">
        <f t="shared" si="5"/>
        <v>112000</v>
      </c>
      <c r="O26" s="39"/>
      <c r="P26" s="40"/>
      <c r="Q26" s="40"/>
      <c r="R26" s="31">
        <f t="shared" si="7"/>
        <v>0</v>
      </c>
      <c r="S26" s="44"/>
      <c r="T26" s="10"/>
      <c r="U26" s="45"/>
      <c r="V26" s="45"/>
      <c r="W26" s="10"/>
      <c r="X26" s="10"/>
      <c r="Y26" s="38"/>
      <c r="Z26" s="10"/>
    </row>
    <row r="27" ht="18.75" customHeight="1">
      <c r="A27" s="24">
        <v>24.0</v>
      </c>
      <c r="B27" s="46" t="s">
        <v>65</v>
      </c>
      <c r="C27" s="27" t="s">
        <v>5</v>
      </c>
      <c r="D27" s="27">
        <v>20.0</v>
      </c>
      <c r="E27" s="27">
        <v>14.0</v>
      </c>
      <c r="F27" s="28">
        <f t="shared" si="6"/>
        <v>6</v>
      </c>
      <c r="G27" s="29" t="s">
        <v>34</v>
      </c>
      <c r="H27" s="30">
        <v>880000.0</v>
      </c>
      <c r="I27" s="31">
        <f t="shared" si="2"/>
        <v>800000</v>
      </c>
      <c r="J27" s="32">
        <f t="shared" si="3"/>
        <v>40000</v>
      </c>
      <c r="K27" s="33">
        <v>0.4</v>
      </c>
      <c r="L27" s="34">
        <f t="shared" si="4"/>
        <v>16000</v>
      </c>
      <c r="M27" s="35">
        <v>10.0</v>
      </c>
      <c r="N27" s="36">
        <f t="shared" si="5"/>
        <v>160000</v>
      </c>
      <c r="O27" s="39"/>
      <c r="P27" s="40"/>
      <c r="Q27" s="40"/>
      <c r="R27" s="31">
        <f t="shared" si="7"/>
        <v>0</v>
      </c>
      <c r="S27" s="44"/>
      <c r="T27" s="47"/>
      <c r="U27" s="45"/>
      <c r="V27" s="45"/>
      <c r="W27" s="10"/>
      <c r="X27" s="10"/>
      <c r="Y27" s="38"/>
      <c r="Z27" s="10"/>
    </row>
    <row r="28" ht="18.75" customHeight="1">
      <c r="A28" s="24">
        <v>25.0</v>
      </c>
      <c r="B28" s="46" t="s">
        <v>66</v>
      </c>
      <c r="C28" s="27" t="s">
        <v>5</v>
      </c>
      <c r="D28" s="27">
        <v>35.0</v>
      </c>
      <c r="E28" s="27">
        <v>13.0</v>
      </c>
      <c r="F28" s="28">
        <f t="shared" si="6"/>
        <v>22</v>
      </c>
      <c r="G28" s="29" t="s">
        <v>34</v>
      </c>
      <c r="H28" s="30">
        <v>1540000.0</v>
      </c>
      <c r="I28" s="31">
        <f t="shared" si="2"/>
        <v>1400000</v>
      </c>
      <c r="J28" s="32">
        <f t="shared" si="3"/>
        <v>40000</v>
      </c>
      <c r="K28" s="33">
        <v>0.4</v>
      </c>
      <c r="L28" s="34">
        <f t="shared" si="4"/>
        <v>16000</v>
      </c>
      <c r="M28" s="35">
        <v>7.0</v>
      </c>
      <c r="N28" s="36">
        <f t="shared" si="5"/>
        <v>112000</v>
      </c>
      <c r="O28" s="48"/>
      <c r="P28" s="49"/>
      <c r="Q28" s="40"/>
      <c r="R28" s="31">
        <f t="shared" si="7"/>
        <v>0</v>
      </c>
      <c r="S28" s="44"/>
      <c r="T28" s="50"/>
      <c r="U28" s="45"/>
      <c r="V28" s="10"/>
      <c r="W28" s="10"/>
      <c r="X28" s="10"/>
      <c r="Y28" s="10"/>
      <c r="Z28" s="10"/>
    </row>
    <row r="29" ht="18.75" customHeight="1">
      <c r="A29" s="24">
        <v>26.0</v>
      </c>
      <c r="B29" s="46" t="s">
        <v>67</v>
      </c>
      <c r="C29" s="27" t="s">
        <v>5</v>
      </c>
      <c r="D29" s="27">
        <v>10.0</v>
      </c>
      <c r="E29" s="27">
        <v>10.0</v>
      </c>
      <c r="F29" s="28">
        <f t="shared" si="6"/>
        <v>0</v>
      </c>
      <c r="G29" s="29" t="s">
        <v>43</v>
      </c>
      <c r="H29" s="30">
        <v>440000.0</v>
      </c>
      <c r="I29" s="31">
        <f t="shared" si="2"/>
        <v>440000</v>
      </c>
      <c r="J29" s="32">
        <f t="shared" si="3"/>
        <v>44000</v>
      </c>
      <c r="K29" s="33">
        <v>0.4</v>
      </c>
      <c r="L29" s="34">
        <f t="shared" si="4"/>
        <v>17600</v>
      </c>
      <c r="M29" s="29">
        <v>8.0</v>
      </c>
      <c r="N29" s="36">
        <f t="shared" si="5"/>
        <v>140800</v>
      </c>
      <c r="O29" s="51"/>
      <c r="P29" s="51"/>
      <c r="Q29" s="40"/>
      <c r="R29" s="31">
        <f t="shared" si="7"/>
        <v>0</v>
      </c>
      <c r="S29" s="44"/>
      <c r="T29" s="52"/>
      <c r="U29" s="45"/>
      <c r="V29" s="10"/>
      <c r="W29" s="10"/>
      <c r="X29" s="10"/>
      <c r="Y29" s="10"/>
      <c r="Z29" s="10"/>
    </row>
    <row r="30" ht="18.75" customHeight="1">
      <c r="A30" s="24">
        <v>27.0</v>
      </c>
      <c r="B30" s="46" t="s">
        <v>68</v>
      </c>
      <c r="C30" s="27" t="s">
        <v>5</v>
      </c>
      <c r="D30" s="46">
        <v>20.0</v>
      </c>
      <c r="E30" s="46">
        <v>14.0</v>
      </c>
      <c r="F30" s="28">
        <f t="shared" si="6"/>
        <v>6</v>
      </c>
      <c r="G30" s="29" t="s">
        <v>34</v>
      </c>
      <c r="H30" s="53">
        <v>880000.0</v>
      </c>
      <c r="I30" s="31">
        <f t="shared" si="2"/>
        <v>800000</v>
      </c>
      <c r="J30" s="32">
        <f t="shared" si="3"/>
        <v>40000</v>
      </c>
      <c r="K30" s="33">
        <v>0.4</v>
      </c>
      <c r="L30" s="34">
        <f t="shared" si="4"/>
        <v>16000</v>
      </c>
      <c r="M30" s="54">
        <v>4.0</v>
      </c>
      <c r="N30" s="36">
        <f t="shared" si="5"/>
        <v>64000</v>
      </c>
      <c r="O30" s="51"/>
      <c r="P30" s="51"/>
      <c r="Q30" s="40"/>
      <c r="R30" s="31">
        <f t="shared" si="7"/>
        <v>0</v>
      </c>
      <c r="S30" s="44"/>
      <c r="T30" s="50"/>
      <c r="U30" s="45"/>
      <c r="V30" s="10"/>
      <c r="W30" s="10"/>
      <c r="X30" s="10"/>
      <c r="Y30" s="10"/>
      <c r="Z30" s="10"/>
    </row>
    <row r="31" ht="18.75" customHeight="1">
      <c r="A31" s="24">
        <v>28.0</v>
      </c>
      <c r="B31" s="46" t="s">
        <v>69</v>
      </c>
      <c r="C31" s="27" t="s">
        <v>4</v>
      </c>
      <c r="D31" s="46">
        <v>10.0</v>
      </c>
      <c r="E31" s="46">
        <v>3.0</v>
      </c>
      <c r="F31" s="28">
        <f t="shared" si="6"/>
        <v>7</v>
      </c>
      <c r="G31" s="29" t="s">
        <v>28</v>
      </c>
      <c r="H31" s="53">
        <v>440000.0</v>
      </c>
      <c r="I31" s="31">
        <f t="shared" si="2"/>
        <v>400000</v>
      </c>
      <c r="J31" s="32">
        <f t="shared" si="3"/>
        <v>40000</v>
      </c>
      <c r="K31" s="33">
        <v>0.4</v>
      </c>
      <c r="L31" s="34">
        <f t="shared" si="4"/>
        <v>16000</v>
      </c>
      <c r="M31" s="54">
        <v>2.0</v>
      </c>
      <c r="N31" s="36">
        <f t="shared" si="5"/>
        <v>32000</v>
      </c>
      <c r="O31" s="51"/>
      <c r="P31" s="51"/>
      <c r="Q31" s="40"/>
      <c r="R31" s="31">
        <f t="shared" si="7"/>
        <v>0</v>
      </c>
      <c r="S31" s="44"/>
      <c r="T31" s="10"/>
      <c r="U31" s="45"/>
      <c r="V31" s="10"/>
      <c r="W31" s="10"/>
      <c r="X31" s="10"/>
      <c r="Y31" s="10"/>
      <c r="Z31" s="10"/>
    </row>
    <row r="32" ht="18.75" customHeight="1">
      <c r="A32" s="24">
        <v>29.0</v>
      </c>
      <c r="B32" s="46" t="s">
        <v>70</v>
      </c>
      <c r="C32" s="27" t="s">
        <v>5</v>
      </c>
      <c r="D32" s="27">
        <v>20.0</v>
      </c>
      <c r="E32" s="27">
        <v>8.0</v>
      </c>
      <c r="F32" s="28">
        <f t="shared" si="6"/>
        <v>12</v>
      </c>
      <c r="G32" s="29" t="s">
        <v>34</v>
      </c>
      <c r="H32" s="53">
        <v>880000.0</v>
      </c>
      <c r="I32" s="31">
        <f t="shared" si="2"/>
        <v>800000</v>
      </c>
      <c r="J32" s="32">
        <f t="shared" si="3"/>
        <v>40000</v>
      </c>
      <c r="K32" s="33">
        <v>0.4</v>
      </c>
      <c r="L32" s="34">
        <f t="shared" si="4"/>
        <v>16000</v>
      </c>
      <c r="M32" s="54">
        <v>8.0</v>
      </c>
      <c r="N32" s="36">
        <f t="shared" si="5"/>
        <v>128000</v>
      </c>
      <c r="O32" s="51"/>
      <c r="P32" s="51"/>
      <c r="Q32" s="40"/>
      <c r="R32" s="31">
        <f t="shared" si="7"/>
        <v>0</v>
      </c>
      <c r="S32" s="44"/>
      <c r="T32" s="10"/>
      <c r="U32" s="45"/>
      <c r="V32" s="10"/>
      <c r="W32" s="10"/>
      <c r="X32" s="10"/>
      <c r="Y32" s="10"/>
      <c r="Z32" s="10"/>
    </row>
    <row r="33" ht="18.75" customHeight="1">
      <c r="A33" s="24">
        <v>32.0</v>
      </c>
      <c r="B33" s="46" t="s">
        <v>71</v>
      </c>
      <c r="C33" s="27" t="s">
        <v>5</v>
      </c>
      <c r="D33" s="27">
        <v>10.0</v>
      </c>
      <c r="E33" s="27">
        <v>10.0</v>
      </c>
      <c r="F33" s="28">
        <f t="shared" si="6"/>
        <v>0</v>
      </c>
      <c r="G33" s="29" t="s">
        <v>34</v>
      </c>
      <c r="H33" s="53">
        <v>440000.0</v>
      </c>
      <c r="I33" s="31">
        <f t="shared" si="2"/>
        <v>400000</v>
      </c>
      <c r="J33" s="32">
        <f t="shared" si="3"/>
        <v>40000</v>
      </c>
      <c r="K33" s="33">
        <v>0.4</v>
      </c>
      <c r="L33" s="34">
        <f t="shared" si="4"/>
        <v>16000</v>
      </c>
      <c r="M33" s="54">
        <v>2.0</v>
      </c>
      <c r="N33" s="36">
        <f t="shared" si="5"/>
        <v>32000</v>
      </c>
      <c r="O33" s="51"/>
      <c r="P33" s="51"/>
      <c r="Q33" s="40"/>
      <c r="R33" s="31">
        <f t="shared" si="7"/>
        <v>0</v>
      </c>
      <c r="S33" s="44"/>
      <c r="T33" s="10"/>
      <c r="U33" s="45"/>
      <c r="V33" s="10"/>
      <c r="W33" s="10"/>
      <c r="X33" s="10"/>
      <c r="Y33" s="10"/>
      <c r="Z33" s="10"/>
    </row>
    <row r="34" ht="18.75" customHeight="1">
      <c r="A34" s="24">
        <v>33.0</v>
      </c>
      <c r="B34" s="46" t="s">
        <v>72</v>
      </c>
      <c r="C34" s="27" t="s">
        <v>5</v>
      </c>
      <c r="D34" s="27">
        <v>20.0</v>
      </c>
      <c r="E34" s="27">
        <v>0.0</v>
      </c>
      <c r="F34" s="28">
        <f t="shared" si="6"/>
        <v>20</v>
      </c>
      <c r="G34" s="29" t="s">
        <v>43</v>
      </c>
      <c r="H34" s="55">
        <v>880000.0</v>
      </c>
      <c r="I34" s="31">
        <f t="shared" si="2"/>
        <v>880000</v>
      </c>
      <c r="J34" s="32">
        <f t="shared" si="3"/>
        <v>44000</v>
      </c>
      <c r="K34" s="33">
        <v>0.4</v>
      </c>
      <c r="L34" s="34">
        <f t="shared" si="4"/>
        <v>17600</v>
      </c>
      <c r="M34" s="54"/>
      <c r="N34" s="36">
        <f t="shared" si="5"/>
        <v>17600</v>
      </c>
      <c r="O34" s="51"/>
      <c r="P34" s="51"/>
      <c r="Q34" s="40"/>
      <c r="R34" s="31">
        <f t="shared" si="7"/>
        <v>0</v>
      </c>
      <c r="S34" s="44"/>
      <c r="T34" s="10"/>
      <c r="U34" s="45"/>
      <c r="V34" s="10"/>
      <c r="W34" s="10"/>
      <c r="X34" s="10"/>
      <c r="Y34" s="10"/>
      <c r="Z34" s="10"/>
    </row>
    <row r="35" ht="18.75" customHeight="1">
      <c r="A35" s="24">
        <v>35.0</v>
      </c>
      <c r="B35" s="46" t="s">
        <v>39</v>
      </c>
      <c r="C35" s="27" t="s">
        <v>5</v>
      </c>
      <c r="D35" s="27">
        <v>20.0</v>
      </c>
      <c r="E35" s="27">
        <v>20.0</v>
      </c>
      <c r="F35" s="28">
        <f t="shared" si="6"/>
        <v>0</v>
      </c>
      <c r="G35" s="29" t="s">
        <v>34</v>
      </c>
      <c r="H35" s="53">
        <v>880000.0</v>
      </c>
      <c r="I35" s="31">
        <f t="shared" si="2"/>
        <v>800000</v>
      </c>
      <c r="J35" s="32">
        <f t="shared" si="3"/>
        <v>40000</v>
      </c>
      <c r="K35" s="33">
        <v>0.4</v>
      </c>
      <c r="L35" s="34">
        <f t="shared" si="4"/>
        <v>16000</v>
      </c>
      <c r="M35" s="54">
        <v>3.0</v>
      </c>
      <c r="N35" s="36">
        <f t="shared" si="5"/>
        <v>48000</v>
      </c>
      <c r="O35" s="51"/>
      <c r="P35" s="51"/>
      <c r="Q35" s="40"/>
      <c r="R35" s="31">
        <f t="shared" si="7"/>
        <v>0</v>
      </c>
      <c r="S35" s="44"/>
      <c r="T35" s="10"/>
      <c r="U35" s="45"/>
      <c r="V35" s="10"/>
      <c r="W35" s="10"/>
      <c r="X35" s="10"/>
      <c r="Y35" s="10"/>
      <c r="Z35" s="10"/>
    </row>
    <row r="36" ht="18.75" customHeight="1">
      <c r="A36" s="24">
        <v>36.0</v>
      </c>
      <c r="B36" s="46" t="s">
        <v>72</v>
      </c>
      <c r="C36" s="27" t="s">
        <v>5</v>
      </c>
      <c r="D36" s="27">
        <v>20.0</v>
      </c>
      <c r="E36" s="27">
        <v>17.0</v>
      </c>
      <c r="F36" s="28">
        <f t="shared" si="6"/>
        <v>3</v>
      </c>
      <c r="G36" s="29" t="s">
        <v>43</v>
      </c>
      <c r="H36" s="55">
        <v>880000.0</v>
      </c>
      <c r="I36" s="31">
        <f t="shared" si="2"/>
        <v>880000</v>
      </c>
      <c r="J36" s="32">
        <f t="shared" si="3"/>
        <v>44000</v>
      </c>
      <c r="K36" s="33">
        <v>0.4</v>
      </c>
      <c r="L36" s="34">
        <f t="shared" si="4"/>
        <v>17600</v>
      </c>
      <c r="M36" s="54">
        <v>6.0</v>
      </c>
      <c r="N36" s="36">
        <f t="shared" si="5"/>
        <v>105600</v>
      </c>
      <c r="O36" s="56" t="s">
        <v>73</v>
      </c>
      <c r="P36" s="22"/>
      <c r="Q36" s="23"/>
      <c r="R36" s="57">
        <f>SUM(Q5:Q35)</f>
        <v>8910000</v>
      </c>
      <c r="S36" s="44"/>
      <c r="T36" s="10"/>
      <c r="U36" s="45"/>
      <c r="V36" s="10"/>
      <c r="W36" s="10"/>
      <c r="X36" s="10"/>
      <c r="Y36" s="10"/>
      <c r="Z36" s="10"/>
    </row>
    <row r="37" ht="18.75" customHeight="1">
      <c r="A37" s="24">
        <v>37.0</v>
      </c>
      <c r="B37" s="46" t="s">
        <v>52</v>
      </c>
      <c r="C37" s="27" t="s">
        <v>4</v>
      </c>
      <c r="D37" s="27">
        <v>10.0</v>
      </c>
      <c r="E37" s="27">
        <v>10.0</v>
      </c>
      <c r="F37" s="28">
        <f t="shared" si="6"/>
        <v>0</v>
      </c>
      <c r="G37" s="29" t="s">
        <v>28</v>
      </c>
      <c r="H37" s="55">
        <v>440000.0</v>
      </c>
      <c r="I37" s="31">
        <f t="shared" si="2"/>
        <v>400000</v>
      </c>
      <c r="J37" s="32">
        <f t="shared" si="3"/>
        <v>40000</v>
      </c>
      <c r="K37" s="33">
        <v>0.4</v>
      </c>
      <c r="L37" s="34">
        <f t="shared" si="4"/>
        <v>16000</v>
      </c>
      <c r="M37" s="54">
        <v>6.0</v>
      </c>
      <c r="N37" s="36">
        <f t="shared" si="5"/>
        <v>96000</v>
      </c>
      <c r="O37" s="58"/>
      <c r="P37" s="58"/>
      <c r="Q37" s="58"/>
      <c r="R37" s="57"/>
      <c r="S37" s="44"/>
      <c r="T37" s="10"/>
      <c r="U37" s="45"/>
      <c r="V37" s="10"/>
      <c r="W37" s="10"/>
      <c r="X37" s="10"/>
      <c r="Y37" s="10"/>
      <c r="Z37" s="10"/>
    </row>
    <row r="38" ht="18.75" customHeight="1">
      <c r="A38" s="24">
        <v>38.0</v>
      </c>
      <c r="B38" s="46" t="s">
        <v>74</v>
      </c>
      <c r="C38" s="27" t="s">
        <v>4</v>
      </c>
      <c r="D38" s="27">
        <v>10.0</v>
      </c>
      <c r="E38" s="27">
        <v>1.0</v>
      </c>
      <c r="F38" s="28">
        <f t="shared" si="6"/>
        <v>9</v>
      </c>
      <c r="G38" s="29" t="s">
        <v>34</v>
      </c>
      <c r="H38" s="55">
        <v>440000.0</v>
      </c>
      <c r="I38" s="31">
        <f t="shared" si="2"/>
        <v>400000</v>
      </c>
      <c r="J38" s="32">
        <f t="shared" si="3"/>
        <v>40000</v>
      </c>
      <c r="K38" s="33">
        <v>0.4</v>
      </c>
      <c r="L38" s="34">
        <f t="shared" si="4"/>
        <v>16000</v>
      </c>
      <c r="M38" s="54">
        <v>0.0</v>
      </c>
      <c r="N38" s="36">
        <f t="shared" si="5"/>
        <v>0</v>
      </c>
      <c r="O38" s="56" t="s">
        <v>75</v>
      </c>
      <c r="P38" s="22"/>
      <c r="Q38" s="23"/>
      <c r="R38" s="59"/>
      <c r="S38" s="44"/>
      <c r="T38" s="10"/>
      <c r="U38" s="45"/>
      <c r="V38" s="10"/>
      <c r="W38" s="10"/>
      <c r="X38" s="10"/>
      <c r="Y38" s="10"/>
      <c r="Z38" s="10"/>
    </row>
    <row r="39" ht="18.75" customHeight="1">
      <c r="A39" s="24">
        <v>39.0</v>
      </c>
      <c r="B39" s="46" t="s">
        <v>76</v>
      </c>
      <c r="C39" s="27" t="s">
        <v>5</v>
      </c>
      <c r="D39" s="27">
        <v>10.0</v>
      </c>
      <c r="E39" s="27">
        <v>7.0</v>
      </c>
      <c r="F39" s="28">
        <f t="shared" si="6"/>
        <v>3</v>
      </c>
      <c r="G39" s="29" t="s">
        <v>34</v>
      </c>
      <c r="H39" s="55">
        <v>440000.0</v>
      </c>
      <c r="I39" s="31">
        <f t="shared" si="2"/>
        <v>400000</v>
      </c>
      <c r="J39" s="32">
        <f t="shared" si="3"/>
        <v>40000</v>
      </c>
      <c r="K39" s="33">
        <v>0.4</v>
      </c>
      <c r="L39" s="34">
        <f t="shared" si="4"/>
        <v>16000</v>
      </c>
      <c r="M39" s="54">
        <v>0.0</v>
      </c>
      <c r="N39" s="36">
        <f t="shared" si="5"/>
        <v>0</v>
      </c>
      <c r="O39" s="56" t="s">
        <v>77</v>
      </c>
      <c r="P39" s="22"/>
      <c r="Q39" s="23"/>
      <c r="R39" s="59">
        <f>R38+R36</f>
        <v>8910000</v>
      </c>
      <c r="S39" s="44"/>
      <c r="T39" s="10"/>
      <c r="U39" s="45"/>
      <c r="V39" s="10"/>
      <c r="W39" s="10"/>
      <c r="X39" s="10"/>
      <c r="Y39" s="10"/>
      <c r="Z39" s="10"/>
    </row>
    <row r="40" ht="18.75" customHeight="1">
      <c r="A40" s="24">
        <v>40.0</v>
      </c>
      <c r="B40" s="46" t="s">
        <v>70</v>
      </c>
      <c r="C40" s="27" t="s">
        <v>5</v>
      </c>
      <c r="D40" s="27">
        <v>10.0</v>
      </c>
      <c r="E40" s="27">
        <v>10.0</v>
      </c>
      <c r="F40" s="28">
        <f t="shared" si="6"/>
        <v>0</v>
      </c>
      <c r="G40" s="29" t="s">
        <v>34</v>
      </c>
      <c r="H40" s="55">
        <v>440000.0</v>
      </c>
      <c r="I40" s="31">
        <f t="shared" si="2"/>
        <v>400000</v>
      </c>
      <c r="J40" s="32">
        <f t="shared" si="3"/>
        <v>40000</v>
      </c>
      <c r="K40" s="33">
        <v>0.4</v>
      </c>
      <c r="L40" s="34">
        <f t="shared" si="4"/>
        <v>16000</v>
      </c>
      <c r="M40" s="54">
        <v>2.0</v>
      </c>
      <c r="N40" s="36">
        <f t="shared" si="5"/>
        <v>32000</v>
      </c>
      <c r="O40" s="60" t="s">
        <v>78</v>
      </c>
      <c r="P40" s="2"/>
      <c r="Q40" s="3"/>
      <c r="R40" s="61">
        <v>1400000.0</v>
      </c>
      <c r="S40" s="44"/>
      <c r="T40" s="38"/>
      <c r="U40" s="38"/>
      <c r="X40" s="38"/>
      <c r="Y40" s="10"/>
      <c r="Z40" s="10"/>
    </row>
    <row r="41" ht="18.75" customHeight="1">
      <c r="A41" s="24">
        <v>41.0</v>
      </c>
      <c r="B41" s="46" t="s">
        <v>46</v>
      </c>
      <c r="C41" s="27" t="s">
        <v>4</v>
      </c>
      <c r="D41" s="27">
        <v>10.0</v>
      </c>
      <c r="E41" s="27">
        <v>9.0</v>
      </c>
      <c r="F41" s="28">
        <f t="shared" si="6"/>
        <v>1</v>
      </c>
      <c r="G41" s="29" t="s">
        <v>28</v>
      </c>
      <c r="H41" s="55">
        <v>440000.0</v>
      </c>
      <c r="I41" s="31">
        <f t="shared" si="2"/>
        <v>400000</v>
      </c>
      <c r="J41" s="32">
        <f t="shared" si="3"/>
        <v>40000</v>
      </c>
      <c r="K41" s="33">
        <v>0.4</v>
      </c>
      <c r="L41" s="34">
        <f t="shared" si="4"/>
        <v>16000</v>
      </c>
      <c r="M41" s="54">
        <v>9.0</v>
      </c>
      <c r="N41" s="36">
        <f t="shared" si="5"/>
        <v>144000</v>
      </c>
      <c r="O41" s="62"/>
      <c r="P41" s="63"/>
      <c r="Q41" s="64"/>
      <c r="R41" s="65"/>
      <c r="S41" s="44"/>
      <c r="T41" s="38"/>
      <c r="U41" s="38"/>
      <c r="X41" s="38"/>
      <c r="Y41" s="10"/>
      <c r="Z41" s="10"/>
    </row>
    <row r="42" ht="18.75" customHeight="1">
      <c r="A42" s="24">
        <v>44.0</v>
      </c>
      <c r="B42" s="46" t="s">
        <v>44</v>
      </c>
      <c r="C42" s="27" t="s">
        <v>5</v>
      </c>
      <c r="D42" s="27">
        <v>10.0</v>
      </c>
      <c r="E42" s="27">
        <v>8.0</v>
      </c>
      <c r="F42" s="28">
        <f t="shared" si="6"/>
        <v>2</v>
      </c>
      <c r="G42" s="29" t="s">
        <v>34</v>
      </c>
      <c r="H42" s="55">
        <v>440000.0</v>
      </c>
      <c r="I42" s="31">
        <f t="shared" si="2"/>
        <v>400000</v>
      </c>
      <c r="J42" s="32">
        <f t="shared" si="3"/>
        <v>40000</v>
      </c>
      <c r="K42" s="33">
        <v>0.4</v>
      </c>
      <c r="L42" s="34">
        <f t="shared" si="4"/>
        <v>16000</v>
      </c>
      <c r="M42" s="54">
        <v>8.0</v>
      </c>
      <c r="N42" s="36">
        <f t="shared" si="5"/>
        <v>128000</v>
      </c>
      <c r="O42" s="60" t="s">
        <v>79</v>
      </c>
      <c r="P42" s="2"/>
      <c r="Q42" s="3"/>
      <c r="R42" s="66">
        <f>SUMIF(N4:N40,"&gt;0",N4:N40)</f>
        <v>2805600</v>
      </c>
      <c r="S42" s="44"/>
      <c r="T42" s="38"/>
      <c r="U42" s="38"/>
      <c r="X42" s="38"/>
      <c r="Y42" s="10"/>
      <c r="Z42" s="10"/>
    </row>
    <row r="43" ht="18.75" customHeight="1">
      <c r="A43" s="24">
        <v>45.0</v>
      </c>
      <c r="B43" s="46" t="s">
        <v>50</v>
      </c>
      <c r="C43" s="27" t="s">
        <v>5</v>
      </c>
      <c r="D43" s="27">
        <v>10.0</v>
      </c>
      <c r="E43" s="27">
        <v>8.0</v>
      </c>
      <c r="F43" s="28">
        <f t="shared" si="6"/>
        <v>2</v>
      </c>
      <c r="G43" s="29" t="s">
        <v>34</v>
      </c>
      <c r="H43" s="55">
        <v>440000.0</v>
      </c>
      <c r="I43" s="31">
        <f t="shared" si="2"/>
        <v>400000</v>
      </c>
      <c r="J43" s="32">
        <f t="shared" si="3"/>
        <v>40000</v>
      </c>
      <c r="K43" s="33">
        <v>0.4</v>
      </c>
      <c r="L43" s="34">
        <f t="shared" si="4"/>
        <v>16000</v>
      </c>
      <c r="M43" s="54">
        <v>8.0</v>
      </c>
      <c r="N43" s="36">
        <f t="shared" si="5"/>
        <v>128000</v>
      </c>
      <c r="O43" s="62"/>
      <c r="P43" s="63"/>
      <c r="Q43" s="64"/>
      <c r="R43" s="65"/>
      <c r="S43" s="44"/>
      <c r="T43" s="38"/>
      <c r="U43" s="38"/>
      <c r="X43" s="38"/>
    </row>
    <row r="44" ht="18.75" customHeight="1">
      <c r="A44" s="24">
        <v>46.0</v>
      </c>
      <c r="B44" s="46" t="s">
        <v>39</v>
      </c>
      <c r="C44" s="27" t="s">
        <v>5</v>
      </c>
      <c r="D44" s="27">
        <v>40.0</v>
      </c>
      <c r="E44" s="27">
        <v>5.0</v>
      </c>
      <c r="F44" s="28">
        <f t="shared" si="6"/>
        <v>35</v>
      </c>
      <c r="G44" s="29" t="s">
        <v>34</v>
      </c>
      <c r="H44" s="55">
        <v>1760000.0</v>
      </c>
      <c r="I44" s="31">
        <f t="shared" si="2"/>
        <v>1600000</v>
      </c>
      <c r="J44" s="32">
        <f t="shared" si="3"/>
        <v>40000</v>
      </c>
      <c r="K44" s="33">
        <v>0.4</v>
      </c>
      <c r="L44" s="34">
        <f t="shared" si="4"/>
        <v>16000</v>
      </c>
      <c r="M44" s="54">
        <v>5.0</v>
      </c>
      <c r="N44" s="36">
        <f t="shared" si="5"/>
        <v>80000</v>
      </c>
      <c r="O44" s="67" t="s">
        <v>80</v>
      </c>
      <c r="P44" s="22"/>
      <c r="Q44" s="23"/>
      <c r="R44" s="68">
        <f>R40+R42</f>
        <v>4205600</v>
      </c>
      <c r="S44" s="10"/>
      <c r="T44" s="10"/>
      <c r="U44" s="10"/>
      <c r="V44" s="10"/>
      <c r="W44" s="10"/>
      <c r="Y44" s="10"/>
      <c r="Z44" s="10"/>
    </row>
    <row r="45" ht="18.75" customHeight="1">
      <c r="A45" s="24">
        <v>47.0</v>
      </c>
      <c r="B45" s="46" t="s">
        <v>41</v>
      </c>
      <c r="C45" s="27" t="s">
        <v>4</v>
      </c>
      <c r="D45" s="27">
        <v>20.0</v>
      </c>
      <c r="E45" s="27">
        <v>1.0</v>
      </c>
      <c r="F45" s="28">
        <f t="shared" si="6"/>
        <v>19</v>
      </c>
      <c r="G45" s="29" t="s">
        <v>34</v>
      </c>
      <c r="H45" s="55">
        <v>880000.0</v>
      </c>
      <c r="I45" s="31">
        <f t="shared" si="2"/>
        <v>800000</v>
      </c>
      <c r="J45" s="32">
        <f t="shared" si="3"/>
        <v>40000</v>
      </c>
      <c r="K45" s="33">
        <v>0.4</v>
      </c>
      <c r="L45" s="34">
        <f t="shared" si="4"/>
        <v>16000</v>
      </c>
      <c r="M45" s="54">
        <v>1.0</v>
      </c>
      <c r="N45" s="36">
        <f t="shared" si="5"/>
        <v>16000</v>
      </c>
      <c r="O45" s="69"/>
      <c r="P45" s="69"/>
      <c r="Q45" s="69"/>
      <c r="R45" s="68"/>
      <c r="S45" s="10"/>
      <c r="T45" s="10"/>
      <c r="U45" s="10"/>
      <c r="V45" s="10"/>
      <c r="W45" s="10"/>
      <c r="Y45" s="10"/>
      <c r="Z45" s="10"/>
    </row>
    <row r="46" ht="18.75" customHeight="1">
      <c r="A46" s="24">
        <v>48.0</v>
      </c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1" t="s">
        <v>81</v>
      </c>
      <c r="P46" s="22"/>
      <c r="Q46" s="22"/>
      <c r="R46" s="23"/>
      <c r="T46" s="10"/>
      <c r="U46" s="10"/>
      <c r="V46" s="10"/>
      <c r="W46" s="10"/>
    </row>
    <row r="47" ht="18.75" customHeight="1">
      <c r="A47" s="24">
        <v>49.0</v>
      </c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1" t="s">
        <v>82</v>
      </c>
      <c r="P47" s="22"/>
      <c r="Q47" s="22"/>
      <c r="R47" s="23"/>
      <c r="T47" s="10"/>
      <c r="U47" s="10"/>
      <c r="V47" s="10"/>
      <c r="W47" s="10"/>
    </row>
    <row r="48" ht="18.75" customHeight="1">
      <c r="A48" s="24">
        <v>50.0</v>
      </c>
      <c r="B48" s="70"/>
      <c r="C48" s="70"/>
      <c r="E48" s="70"/>
      <c r="G48" s="70"/>
      <c r="H48" s="70"/>
      <c r="I48" s="70"/>
      <c r="J48" s="70"/>
      <c r="K48" s="70"/>
      <c r="L48" s="70"/>
      <c r="M48" s="70"/>
      <c r="N48" s="70"/>
      <c r="O48" s="71" t="s">
        <v>83</v>
      </c>
      <c r="P48" s="22"/>
      <c r="Q48" s="22"/>
      <c r="R48" s="23"/>
      <c r="T48" s="10"/>
      <c r="U48" s="10"/>
      <c r="V48" s="10"/>
      <c r="W48" s="10"/>
    </row>
    <row r="49" ht="18.75" customHeight="1">
      <c r="A49" s="24">
        <v>51.0</v>
      </c>
      <c r="C49" s="70"/>
      <c r="D49" s="70"/>
      <c r="G49" s="70"/>
      <c r="H49" s="70"/>
      <c r="I49" s="70"/>
      <c r="J49" s="70"/>
      <c r="K49" s="70"/>
      <c r="L49" s="70"/>
      <c r="M49" s="70"/>
      <c r="N49" s="70"/>
      <c r="O49" s="71" t="s">
        <v>84</v>
      </c>
      <c r="P49" s="22"/>
      <c r="Q49" s="22"/>
      <c r="R49" s="23"/>
      <c r="T49" s="10"/>
      <c r="U49" s="10"/>
      <c r="V49" s="10"/>
      <c r="W49" s="10"/>
    </row>
    <row r="50" ht="18.75" customHeight="1">
      <c r="A50" s="70"/>
      <c r="B50" s="70"/>
      <c r="C50" s="70"/>
      <c r="D50" s="70"/>
      <c r="E50" s="70"/>
      <c r="G50" s="70"/>
      <c r="H50" s="70"/>
      <c r="I50" s="70"/>
      <c r="J50" s="70"/>
      <c r="K50" s="70"/>
      <c r="L50" s="70"/>
      <c r="M50" s="70"/>
      <c r="N50" s="70"/>
      <c r="O50" s="71" t="s">
        <v>85</v>
      </c>
      <c r="P50" s="22"/>
      <c r="Q50" s="22"/>
      <c r="R50" s="23"/>
      <c r="T50" s="10"/>
      <c r="U50" s="10"/>
      <c r="V50" s="10"/>
      <c r="W50" s="10"/>
    </row>
    <row r="51" ht="18.7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1" t="s">
        <v>86</v>
      </c>
      <c r="P51" s="22"/>
      <c r="Q51" s="22"/>
      <c r="R51" s="23"/>
      <c r="T51" s="10"/>
      <c r="U51" s="10"/>
      <c r="V51" s="10"/>
      <c r="W51" s="10"/>
    </row>
    <row r="52" ht="18.7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1" t="s">
        <v>87</v>
      </c>
      <c r="P52" s="22"/>
      <c r="Q52" s="22"/>
      <c r="R52" s="23"/>
      <c r="T52" s="10"/>
      <c r="U52" s="10"/>
      <c r="V52" s="10"/>
      <c r="W52" s="10"/>
    </row>
    <row r="53" ht="18.75" customHeight="1"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10"/>
      <c r="O53" s="71" t="s">
        <v>88</v>
      </c>
      <c r="P53" s="22"/>
      <c r="Q53" s="22"/>
      <c r="R53" s="23"/>
      <c r="T53" s="10"/>
      <c r="U53" s="10"/>
      <c r="V53" s="10"/>
      <c r="W53" s="10"/>
      <c r="X53" s="10"/>
      <c r="Y53" s="10"/>
      <c r="Z53" s="10"/>
    </row>
    <row r="54" ht="18.75" customHeight="1">
      <c r="A54" s="7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71" t="s">
        <v>89</v>
      </c>
      <c r="P54" s="22"/>
      <c r="Q54" s="22"/>
      <c r="R54" s="23"/>
      <c r="T54" s="10"/>
      <c r="U54" s="10"/>
      <c r="V54" s="10"/>
      <c r="W54" s="10"/>
      <c r="X54" s="10"/>
      <c r="Y54" s="10"/>
      <c r="Z54" s="10"/>
    </row>
    <row r="55" ht="16.5" customHeight="1">
      <c r="A55" s="7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7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7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7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7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7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29">
    <mergeCell ref="A1:H2"/>
    <mergeCell ref="O3:R3"/>
    <mergeCell ref="O36:Q36"/>
    <mergeCell ref="O38:Q38"/>
    <mergeCell ref="O39:Q39"/>
    <mergeCell ref="O40:Q41"/>
    <mergeCell ref="R40:R41"/>
    <mergeCell ref="U40:W40"/>
    <mergeCell ref="U41:W41"/>
    <mergeCell ref="O42:Q43"/>
    <mergeCell ref="R42:R43"/>
    <mergeCell ref="U42:W42"/>
    <mergeCell ref="U43:W43"/>
    <mergeCell ref="O44:Q44"/>
    <mergeCell ref="O49:R49"/>
    <mergeCell ref="O50:R50"/>
    <mergeCell ref="O51:R51"/>
    <mergeCell ref="O48:R48"/>
    <mergeCell ref="O52:R52"/>
    <mergeCell ref="O54:R54"/>
    <mergeCell ref="A52:A53"/>
    <mergeCell ref="A57:A59"/>
    <mergeCell ref="O46:R46"/>
    <mergeCell ref="O47:R47"/>
    <mergeCell ref="B48:B49"/>
    <mergeCell ref="C48:D48"/>
    <mergeCell ref="E48:F49"/>
    <mergeCell ref="E50:F50"/>
    <mergeCell ref="O53:R53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90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12</v>
      </c>
      <c r="K2" s="14">
        <f>COUNTA(B4:B40)</f>
        <v>33</v>
      </c>
      <c r="L2" s="14">
        <f>COUNTIFS(C4:C40,"남")</f>
        <v>11</v>
      </c>
      <c r="M2" s="14">
        <f>COUNTIFS(C4:C40,"여")</f>
        <v>22</v>
      </c>
      <c r="N2" s="15">
        <f>AVERAGEIF(J4:J39,"&gt;0",J4:J39)</f>
        <v>40000</v>
      </c>
      <c r="O2" s="16">
        <f>SUM(M4:M40)</f>
        <v>111</v>
      </c>
      <c r="P2" s="17">
        <f>SUM(F4:F40)</f>
        <v>273</v>
      </c>
      <c r="Q2" s="18">
        <f t="shared" ref="Q2:R2" si="1">SUM(Q5:Q22)</f>
        <v>5720000</v>
      </c>
      <c r="R2" s="18">
        <f t="shared" si="1"/>
        <v>5200000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72" t="s">
        <v>91</v>
      </c>
      <c r="C4" s="73" t="s">
        <v>4</v>
      </c>
      <c r="D4" s="74">
        <v>50.0</v>
      </c>
      <c r="E4" s="74">
        <v>31.0</v>
      </c>
      <c r="F4" s="75">
        <v>19.0</v>
      </c>
      <c r="G4" s="24"/>
      <c r="H4" s="76">
        <v>2200000.0</v>
      </c>
      <c r="I4" s="31">
        <f t="shared" ref="I4:I40" si="2">IF(G4="현금",H4,H4/1.1)</f>
        <v>2000000</v>
      </c>
      <c r="J4" s="77">
        <f t="shared" ref="J4:J40" si="3">I4/D4</f>
        <v>40000</v>
      </c>
      <c r="K4" s="33">
        <v>0.45</v>
      </c>
      <c r="L4" s="78">
        <f t="shared" ref="L4:L40" si="4">PRODUCT(K4,J4)</f>
        <v>18000</v>
      </c>
      <c r="M4" s="79">
        <v>8.0</v>
      </c>
      <c r="N4" s="80">
        <f t="shared" ref="N4:N40" si="5">PRODUCT(M4,L4)</f>
        <v>144000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9">
        <v>2.0</v>
      </c>
      <c r="B5" s="25" t="s">
        <v>92</v>
      </c>
      <c r="C5" s="26" t="s">
        <v>4</v>
      </c>
      <c r="D5" s="27">
        <v>30.0</v>
      </c>
      <c r="E5" s="27">
        <v>20.0</v>
      </c>
      <c r="F5" s="28">
        <v>10.0</v>
      </c>
      <c r="G5" s="29"/>
      <c r="H5" s="30">
        <v>1320000.0</v>
      </c>
      <c r="I5" s="31">
        <f t="shared" si="2"/>
        <v>1200000</v>
      </c>
      <c r="J5" s="32">
        <f t="shared" si="3"/>
        <v>40000</v>
      </c>
      <c r="K5" s="33">
        <v>0.45</v>
      </c>
      <c r="L5" s="34">
        <f t="shared" si="4"/>
        <v>18000</v>
      </c>
      <c r="M5" s="35">
        <v>6.0</v>
      </c>
      <c r="N5" s="36">
        <f t="shared" si="5"/>
        <v>108000</v>
      </c>
      <c r="O5" s="39" t="s">
        <v>93</v>
      </c>
      <c r="P5" s="40" t="s">
        <v>34</v>
      </c>
      <c r="Q5" s="40">
        <v>440000.0</v>
      </c>
      <c r="R5" s="31">
        <f t="shared" ref="R5:R22" si="6">IF(P5="현금",Q5,Q5/1.1)</f>
        <v>400000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9">
        <v>3.0</v>
      </c>
      <c r="B6" s="25" t="s">
        <v>94</v>
      </c>
      <c r="C6" s="26" t="s">
        <v>4</v>
      </c>
      <c r="D6" s="27">
        <v>33.0</v>
      </c>
      <c r="E6" s="27">
        <v>17.0</v>
      </c>
      <c r="F6" s="28">
        <f t="shared" ref="F6:F29" si="7">D6-E6</f>
        <v>16</v>
      </c>
      <c r="G6" s="29"/>
      <c r="H6" s="30">
        <v>1452000.0</v>
      </c>
      <c r="I6" s="31">
        <f t="shared" si="2"/>
        <v>1320000</v>
      </c>
      <c r="J6" s="32">
        <f t="shared" si="3"/>
        <v>40000</v>
      </c>
      <c r="K6" s="33">
        <v>0.45</v>
      </c>
      <c r="L6" s="34">
        <f t="shared" si="4"/>
        <v>18000</v>
      </c>
      <c r="M6" s="35">
        <v>6.0</v>
      </c>
      <c r="N6" s="36">
        <f t="shared" si="5"/>
        <v>108000</v>
      </c>
      <c r="O6" s="39" t="s">
        <v>95</v>
      </c>
      <c r="P6" s="40" t="s">
        <v>34</v>
      </c>
      <c r="Q6" s="40">
        <v>440000.0</v>
      </c>
      <c r="R6" s="31">
        <f t="shared" si="6"/>
        <v>400000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9">
        <v>4.0</v>
      </c>
      <c r="B7" s="25" t="s">
        <v>96</v>
      </c>
      <c r="C7" s="26" t="s">
        <v>5</v>
      </c>
      <c r="D7" s="27">
        <v>20.0</v>
      </c>
      <c r="E7" s="27">
        <v>17.0</v>
      </c>
      <c r="F7" s="28">
        <f t="shared" si="7"/>
        <v>3</v>
      </c>
      <c r="G7" s="29"/>
      <c r="H7" s="30">
        <v>880000.0</v>
      </c>
      <c r="I7" s="31">
        <f t="shared" si="2"/>
        <v>800000</v>
      </c>
      <c r="J7" s="32">
        <f t="shared" si="3"/>
        <v>40000</v>
      </c>
      <c r="K7" s="33">
        <v>0.45</v>
      </c>
      <c r="L7" s="34">
        <f t="shared" si="4"/>
        <v>18000</v>
      </c>
      <c r="M7" s="35">
        <v>5.0</v>
      </c>
      <c r="N7" s="36">
        <f t="shared" si="5"/>
        <v>90000</v>
      </c>
      <c r="O7" s="39" t="s">
        <v>97</v>
      </c>
      <c r="P7" s="40" t="s">
        <v>34</v>
      </c>
      <c r="Q7" s="40">
        <v>880000.0</v>
      </c>
      <c r="R7" s="31">
        <f t="shared" si="6"/>
        <v>800000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9">
        <v>5.0</v>
      </c>
      <c r="B8" s="25" t="s">
        <v>98</v>
      </c>
      <c r="C8" s="26" t="s">
        <v>5</v>
      </c>
      <c r="D8" s="27">
        <v>50.0</v>
      </c>
      <c r="E8" s="27">
        <v>24.0</v>
      </c>
      <c r="F8" s="28">
        <f t="shared" si="7"/>
        <v>26</v>
      </c>
      <c r="G8" s="29"/>
      <c r="H8" s="30">
        <v>2200000.0</v>
      </c>
      <c r="I8" s="31">
        <f t="shared" si="2"/>
        <v>2000000</v>
      </c>
      <c r="J8" s="32">
        <f t="shared" si="3"/>
        <v>40000</v>
      </c>
      <c r="K8" s="33">
        <v>0.45</v>
      </c>
      <c r="L8" s="34">
        <f t="shared" si="4"/>
        <v>18000</v>
      </c>
      <c r="M8" s="35">
        <v>6.0</v>
      </c>
      <c r="N8" s="36">
        <f t="shared" si="5"/>
        <v>108000</v>
      </c>
      <c r="O8" s="41" t="s">
        <v>99</v>
      </c>
      <c r="P8" s="40" t="s">
        <v>28</v>
      </c>
      <c r="Q8" s="40">
        <v>440000.0</v>
      </c>
      <c r="R8" s="31">
        <f t="shared" si="6"/>
        <v>400000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9">
        <v>6.0</v>
      </c>
      <c r="B9" s="25" t="s">
        <v>99</v>
      </c>
      <c r="C9" s="26" t="s">
        <v>5</v>
      </c>
      <c r="D9" s="27">
        <v>20.0</v>
      </c>
      <c r="E9" s="27">
        <v>9.0</v>
      </c>
      <c r="F9" s="28">
        <f t="shared" si="7"/>
        <v>11</v>
      </c>
      <c r="G9" s="29"/>
      <c r="H9" s="30">
        <v>880000.0</v>
      </c>
      <c r="I9" s="31">
        <f t="shared" si="2"/>
        <v>800000</v>
      </c>
      <c r="J9" s="32">
        <f t="shared" si="3"/>
        <v>40000</v>
      </c>
      <c r="K9" s="33">
        <v>0.45</v>
      </c>
      <c r="L9" s="34">
        <f t="shared" si="4"/>
        <v>18000</v>
      </c>
      <c r="M9" s="35">
        <v>3.0</v>
      </c>
      <c r="N9" s="36">
        <f t="shared" si="5"/>
        <v>54000</v>
      </c>
      <c r="O9" s="39" t="s">
        <v>100</v>
      </c>
      <c r="P9" s="40" t="s">
        <v>28</v>
      </c>
      <c r="Q9" s="40">
        <v>2200000.0</v>
      </c>
      <c r="R9" s="31">
        <f t="shared" si="6"/>
        <v>2000000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9">
        <v>7.0</v>
      </c>
      <c r="B10" s="25" t="s">
        <v>101</v>
      </c>
      <c r="C10" s="26" t="s">
        <v>4</v>
      </c>
      <c r="D10" s="27">
        <v>10.0</v>
      </c>
      <c r="E10" s="27">
        <v>10.0</v>
      </c>
      <c r="F10" s="28">
        <f t="shared" si="7"/>
        <v>0</v>
      </c>
      <c r="G10" s="29"/>
      <c r="H10" s="30">
        <v>440000.0</v>
      </c>
      <c r="I10" s="31">
        <f t="shared" si="2"/>
        <v>400000</v>
      </c>
      <c r="J10" s="32">
        <f t="shared" si="3"/>
        <v>40000</v>
      </c>
      <c r="K10" s="33">
        <v>0.45</v>
      </c>
      <c r="L10" s="34">
        <f t="shared" si="4"/>
        <v>18000</v>
      </c>
      <c r="M10" s="35">
        <v>3.0</v>
      </c>
      <c r="N10" s="36">
        <f t="shared" si="5"/>
        <v>54000</v>
      </c>
      <c r="O10" s="39" t="s">
        <v>102</v>
      </c>
      <c r="P10" s="40" t="s">
        <v>28</v>
      </c>
      <c r="Q10" s="40">
        <v>440000.0</v>
      </c>
      <c r="R10" s="31">
        <f t="shared" si="6"/>
        <v>400000</v>
      </c>
      <c r="S10" s="10"/>
      <c r="T10" s="10"/>
      <c r="U10" s="10"/>
      <c r="V10" s="10"/>
      <c r="W10" s="10"/>
      <c r="X10" s="10"/>
      <c r="Y10" s="38"/>
      <c r="Z10" s="10"/>
    </row>
    <row r="11" ht="18.75" customHeight="1">
      <c r="A11" s="29">
        <v>8.0</v>
      </c>
      <c r="B11" s="25" t="s">
        <v>103</v>
      </c>
      <c r="C11" s="26" t="s">
        <v>5</v>
      </c>
      <c r="D11" s="27">
        <v>10.0</v>
      </c>
      <c r="E11" s="27">
        <v>7.0</v>
      </c>
      <c r="F11" s="28">
        <f t="shared" si="7"/>
        <v>3</v>
      </c>
      <c r="G11" s="29"/>
      <c r="H11" s="30">
        <v>440000.0</v>
      </c>
      <c r="I11" s="31">
        <f t="shared" si="2"/>
        <v>400000</v>
      </c>
      <c r="J11" s="32">
        <f t="shared" si="3"/>
        <v>40000</v>
      </c>
      <c r="K11" s="33">
        <v>0.45</v>
      </c>
      <c r="L11" s="34">
        <f t="shared" si="4"/>
        <v>18000</v>
      </c>
      <c r="M11" s="35">
        <v>2.0</v>
      </c>
      <c r="N11" s="36">
        <f t="shared" si="5"/>
        <v>36000</v>
      </c>
      <c r="O11" s="39" t="s">
        <v>104</v>
      </c>
      <c r="P11" s="40" t="s">
        <v>34</v>
      </c>
      <c r="Q11" s="43">
        <v>440000.0</v>
      </c>
      <c r="R11" s="31">
        <f t="shared" si="6"/>
        <v>400000</v>
      </c>
      <c r="S11" s="10"/>
      <c r="T11" s="10"/>
      <c r="U11" s="10"/>
      <c r="V11" s="10"/>
      <c r="W11" s="10"/>
      <c r="X11" s="10"/>
      <c r="Y11" s="38"/>
      <c r="Z11" s="10"/>
    </row>
    <row r="12" ht="18.75" customHeight="1">
      <c r="A12" s="29">
        <v>9.0</v>
      </c>
      <c r="B12" s="25" t="s">
        <v>105</v>
      </c>
      <c r="C12" s="26" t="s">
        <v>5</v>
      </c>
      <c r="D12" s="27">
        <v>10.0</v>
      </c>
      <c r="E12" s="27">
        <v>8.0</v>
      </c>
      <c r="F12" s="28">
        <f t="shared" si="7"/>
        <v>2</v>
      </c>
      <c r="G12" s="29"/>
      <c r="H12" s="30">
        <v>440000.0</v>
      </c>
      <c r="I12" s="31">
        <f t="shared" si="2"/>
        <v>400000</v>
      </c>
      <c r="J12" s="32">
        <f t="shared" si="3"/>
        <v>40000</v>
      </c>
      <c r="K12" s="33">
        <v>0.45</v>
      </c>
      <c r="L12" s="34">
        <f t="shared" si="4"/>
        <v>18000</v>
      </c>
      <c r="M12" s="35">
        <v>3.0</v>
      </c>
      <c r="N12" s="36">
        <f t="shared" si="5"/>
        <v>54000</v>
      </c>
      <c r="O12" s="39" t="s">
        <v>106</v>
      </c>
      <c r="P12" s="39" t="s">
        <v>34</v>
      </c>
      <c r="Q12" s="40">
        <v>440000.0</v>
      </c>
      <c r="R12" s="31">
        <f t="shared" si="6"/>
        <v>400000</v>
      </c>
      <c r="S12" s="10"/>
      <c r="T12" s="10"/>
      <c r="U12" s="10"/>
      <c r="V12" s="10"/>
      <c r="W12" s="10"/>
      <c r="X12" s="10"/>
      <c r="Y12" s="38"/>
      <c r="Z12" s="10"/>
    </row>
    <row r="13" ht="18.75" customHeight="1">
      <c r="A13" s="29">
        <v>11.0</v>
      </c>
      <c r="B13" s="25" t="s">
        <v>107</v>
      </c>
      <c r="C13" s="26" t="s">
        <v>4</v>
      </c>
      <c r="D13" s="27">
        <v>10.0</v>
      </c>
      <c r="E13" s="27">
        <v>8.0</v>
      </c>
      <c r="F13" s="28">
        <f t="shared" si="7"/>
        <v>2</v>
      </c>
      <c r="G13" s="29"/>
      <c r="H13" s="30">
        <v>440000.0</v>
      </c>
      <c r="I13" s="31">
        <f t="shared" si="2"/>
        <v>400000</v>
      </c>
      <c r="J13" s="32">
        <f t="shared" si="3"/>
        <v>40000</v>
      </c>
      <c r="K13" s="33">
        <v>0.45</v>
      </c>
      <c r="L13" s="34">
        <f t="shared" si="4"/>
        <v>18000</v>
      </c>
      <c r="M13" s="35">
        <v>2.0</v>
      </c>
      <c r="N13" s="36">
        <f t="shared" si="5"/>
        <v>36000</v>
      </c>
      <c r="O13" s="39"/>
      <c r="P13" s="39"/>
      <c r="Q13" s="40"/>
      <c r="R13" s="31">
        <f t="shared" si="6"/>
        <v>0</v>
      </c>
      <c r="S13" s="44"/>
      <c r="T13" s="10"/>
      <c r="U13" s="45"/>
      <c r="V13" s="10"/>
      <c r="W13" s="10"/>
      <c r="X13" s="10"/>
      <c r="Y13" s="38"/>
      <c r="Z13" s="10"/>
    </row>
    <row r="14" ht="18.75" customHeight="1">
      <c r="A14" s="29">
        <v>13.0</v>
      </c>
      <c r="B14" s="42" t="s">
        <v>108</v>
      </c>
      <c r="C14" s="26" t="s">
        <v>5</v>
      </c>
      <c r="D14" s="27">
        <v>10.0</v>
      </c>
      <c r="E14" s="27">
        <v>10.0</v>
      </c>
      <c r="F14" s="28">
        <f t="shared" si="7"/>
        <v>0</v>
      </c>
      <c r="G14" s="29"/>
      <c r="H14" s="30">
        <v>440000.0</v>
      </c>
      <c r="I14" s="31">
        <f t="shared" si="2"/>
        <v>400000</v>
      </c>
      <c r="J14" s="32">
        <f t="shared" si="3"/>
        <v>40000</v>
      </c>
      <c r="K14" s="33">
        <v>0.45</v>
      </c>
      <c r="L14" s="34">
        <f t="shared" si="4"/>
        <v>18000</v>
      </c>
      <c r="M14" s="35">
        <v>1.0</v>
      </c>
      <c r="N14" s="36">
        <f t="shared" si="5"/>
        <v>18000</v>
      </c>
      <c r="O14" s="39"/>
      <c r="P14" s="39"/>
      <c r="Q14" s="40"/>
      <c r="R14" s="31">
        <f t="shared" si="6"/>
        <v>0</v>
      </c>
      <c r="S14" s="44"/>
      <c r="T14" s="10"/>
      <c r="U14" s="45"/>
      <c r="V14" s="10"/>
      <c r="W14" s="10"/>
      <c r="X14" s="10"/>
      <c r="Y14" s="38"/>
      <c r="Z14" s="10"/>
    </row>
    <row r="15" ht="18.75" customHeight="1">
      <c r="A15" s="29">
        <v>14.0</v>
      </c>
      <c r="B15" s="42" t="s">
        <v>109</v>
      </c>
      <c r="C15" s="26" t="s">
        <v>5</v>
      </c>
      <c r="D15" s="27">
        <v>10.0</v>
      </c>
      <c r="E15" s="27">
        <v>8.0</v>
      </c>
      <c r="F15" s="28">
        <f t="shared" si="7"/>
        <v>2</v>
      </c>
      <c r="G15" s="29"/>
      <c r="H15" s="30">
        <v>440000.0</v>
      </c>
      <c r="I15" s="31">
        <f t="shared" si="2"/>
        <v>400000</v>
      </c>
      <c r="J15" s="32">
        <f t="shared" si="3"/>
        <v>40000</v>
      </c>
      <c r="K15" s="33">
        <v>0.45</v>
      </c>
      <c r="L15" s="34">
        <f t="shared" si="4"/>
        <v>18000</v>
      </c>
      <c r="M15" s="35">
        <v>0.0</v>
      </c>
      <c r="N15" s="36">
        <f t="shared" si="5"/>
        <v>0</v>
      </c>
      <c r="O15" s="39"/>
      <c r="P15" s="39"/>
      <c r="Q15" s="40"/>
      <c r="R15" s="31">
        <f t="shared" si="6"/>
        <v>0</v>
      </c>
      <c r="S15" s="44"/>
      <c r="T15" s="10"/>
      <c r="U15" s="45"/>
      <c r="V15" s="45"/>
      <c r="W15" s="10"/>
      <c r="X15" s="10"/>
      <c r="Y15" s="38"/>
      <c r="Z15" s="10"/>
    </row>
    <row r="16" ht="18.75" customHeight="1">
      <c r="A16" s="29">
        <v>15.0</v>
      </c>
      <c r="B16" s="25" t="s">
        <v>110</v>
      </c>
      <c r="C16" s="26" t="s">
        <v>5</v>
      </c>
      <c r="D16" s="27">
        <v>40.0</v>
      </c>
      <c r="E16" s="27">
        <v>6.0</v>
      </c>
      <c r="F16" s="28">
        <f t="shared" si="7"/>
        <v>34</v>
      </c>
      <c r="G16" s="29"/>
      <c r="H16" s="30">
        <v>1760000.0</v>
      </c>
      <c r="I16" s="31">
        <f t="shared" si="2"/>
        <v>1600000</v>
      </c>
      <c r="J16" s="32">
        <f t="shared" si="3"/>
        <v>40000</v>
      </c>
      <c r="K16" s="33">
        <v>0.45</v>
      </c>
      <c r="L16" s="34">
        <f t="shared" si="4"/>
        <v>18000</v>
      </c>
      <c r="M16" s="35">
        <v>4.0</v>
      </c>
      <c r="N16" s="36">
        <f t="shared" si="5"/>
        <v>72000</v>
      </c>
      <c r="O16" s="39"/>
      <c r="P16" s="39"/>
      <c r="Q16" s="40"/>
      <c r="R16" s="31">
        <f t="shared" si="6"/>
        <v>0</v>
      </c>
      <c r="S16" s="44"/>
      <c r="T16" s="10"/>
      <c r="U16" s="45"/>
      <c r="V16" s="45"/>
      <c r="W16" s="10"/>
      <c r="X16" s="10"/>
      <c r="Y16" s="38"/>
      <c r="Z16" s="10"/>
    </row>
    <row r="17" ht="18.75" customHeight="1">
      <c r="A17" s="29">
        <v>17.0</v>
      </c>
      <c r="B17" s="25" t="s">
        <v>111</v>
      </c>
      <c r="C17" s="26" t="s">
        <v>4</v>
      </c>
      <c r="D17" s="27">
        <v>20.0</v>
      </c>
      <c r="E17" s="27">
        <v>13.0</v>
      </c>
      <c r="F17" s="28">
        <f t="shared" si="7"/>
        <v>7</v>
      </c>
      <c r="G17" s="29"/>
      <c r="H17" s="30">
        <v>880000.0</v>
      </c>
      <c r="I17" s="31">
        <f t="shared" si="2"/>
        <v>800000</v>
      </c>
      <c r="J17" s="32">
        <f t="shared" si="3"/>
        <v>40000</v>
      </c>
      <c r="K17" s="33">
        <v>0.45</v>
      </c>
      <c r="L17" s="34">
        <f t="shared" si="4"/>
        <v>18000</v>
      </c>
      <c r="M17" s="35">
        <v>1.0</v>
      </c>
      <c r="N17" s="36">
        <f t="shared" si="5"/>
        <v>18000</v>
      </c>
      <c r="O17" s="39"/>
      <c r="P17" s="40"/>
      <c r="Q17" s="40"/>
      <c r="R17" s="31">
        <f t="shared" si="6"/>
        <v>0</v>
      </c>
      <c r="S17" s="44"/>
      <c r="T17" s="10"/>
      <c r="U17" s="45"/>
      <c r="V17" s="45"/>
      <c r="W17" s="10"/>
      <c r="X17" s="10"/>
      <c r="Y17" s="38"/>
      <c r="Z17" s="10"/>
    </row>
    <row r="18" ht="18.75" customHeight="1">
      <c r="A18" s="29">
        <v>18.0</v>
      </c>
      <c r="B18" s="25" t="s">
        <v>112</v>
      </c>
      <c r="C18" s="26" t="s">
        <v>4</v>
      </c>
      <c r="D18" s="27">
        <v>10.0</v>
      </c>
      <c r="E18" s="27">
        <v>10.0</v>
      </c>
      <c r="F18" s="28">
        <f t="shared" si="7"/>
        <v>0</v>
      </c>
      <c r="G18" s="29"/>
      <c r="H18" s="30">
        <v>440000.0</v>
      </c>
      <c r="I18" s="31">
        <f t="shared" si="2"/>
        <v>400000</v>
      </c>
      <c r="J18" s="32">
        <f t="shared" si="3"/>
        <v>40000</v>
      </c>
      <c r="K18" s="33">
        <v>0.45</v>
      </c>
      <c r="L18" s="34">
        <f t="shared" si="4"/>
        <v>18000</v>
      </c>
      <c r="M18" s="35">
        <v>6.0</v>
      </c>
      <c r="N18" s="36">
        <f t="shared" si="5"/>
        <v>108000</v>
      </c>
      <c r="O18" s="39"/>
      <c r="P18" s="40"/>
      <c r="Q18" s="40"/>
      <c r="R18" s="31">
        <f t="shared" si="6"/>
        <v>0</v>
      </c>
      <c r="S18" s="44"/>
      <c r="T18" s="10"/>
      <c r="U18" s="45"/>
      <c r="V18" s="45"/>
      <c r="W18" s="10"/>
      <c r="X18" s="10"/>
      <c r="Y18" s="38"/>
      <c r="Z18" s="10"/>
    </row>
    <row r="19" ht="18.75" customHeight="1">
      <c r="A19" s="29">
        <v>19.0</v>
      </c>
      <c r="B19" s="25" t="s">
        <v>113</v>
      </c>
      <c r="C19" s="26" t="s">
        <v>5</v>
      </c>
      <c r="D19" s="27">
        <v>10.0</v>
      </c>
      <c r="E19" s="27">
        <v>10.0</v>
      </c>
      <c r="F19" s="28">
        <f t="shared" si="7"/>
        <v>0</v>
      </c>
      <c r="G19" s="29"/>
      <c r="H19" s="30">
        <v>440000.0</v>
      </c>
      <c r="I19" s="31">
        <f t="shared" si="2"/>
        <v>400000</v>
      </c>
      <c r="J19" s="32">
        <f t="shared" si="3"/>
        <v>40000</v>
      </c>
      <c r="K19" s="33">
        <v>0.45</v>
      </c>
      <c r="L19" s="34">
        <f t="shared" si="4"/>
        <v>18000</v>
      </c>
      <c r="M19" s="35">
        <v>3.0</v>
      </c>
      <c r="N19" s="36">
        <f t="shared" si="5"/>
        <v>54000</v>
      </c>
      <c r="O19" s="39"/>
      <c r="P19" s="40"/>
      <c r="Q19" s="40"/>
      <c r="R19" s="31">
        <f t="shared" si="6"/>
        <v>0</v>
      </c>
      <c r="S19" s="44"/>
      <c r="T19" s="47"/>
      <c r="U19" s="45"/>
      <c r="V19" s="45"/>
      <c r="W19" s="10"/>
      <c r="X19" s="10"/>
      <c r="Y19" s="38"/>
      <c r="Z19" s="10"/>
    </row>
    <row r="20" ht="18.75" customHeight="1">
      <c r="A20" s="29">
        <v>20.0</v>
      </c>
      <c r="B20" s="25" t="s">
        <v>114</v>
      </c>
      <c r="C20" s="26" t="s">
        <v>5</v>
      </c>
      <c r="D20" s="27">
        <v>10.0</v>
      </c>
      <c r="E20" s="27">
        <v>10.0</v>
      </c>
      <c r="F20" s="28">
        <f t="shared" si="7"/>
        <v>0</v>
      </c>
      <c r="G20" s="29"/>
      <c r="H20" s="30">
        <v>440000.0</v>
      </c>
      <c r="I20" s="31">
        <f t="shared" si="2"/>
        <v>400000</v>
      </c>
      <c r="J20" s="32">
        <f t="shared" si="3"/>
        <v>40000</v>
      </c>
      <c r="K20" s="33">
        <v>0.45</v>
      </c>
      <c r="L20" s="34">
        <f t="shared" si="4"/>
        <v>18000</v>
      </c>
      <c r="M20" s="35">
        <v>3.0</v>
      </c>
      <c r="N20" s="36">
        <f t="shared" si="5"/>
        <v>54000</v>
      </c>
      <c r="O20" s="48"/>
      <c r="P20" s="49"/>
      <c r="Q20" s="5"/>
      <c r="R20" s="31">
        <f t="shared" si="6"/>
        <v>0</v>
      </c>
      <c r="S20" s="44"/>
      <c r="T20" s="50"/>
      <c r="U20" s="45"/>
      <c r="V20" s="10"/>
      <c r="W20" s="10"/>
      <c r="X20" s="10"/>
      <c r="Y20" s="10"/>
      <c r="Z20" s="10"/>
    </row>
    <row r="21" ht="18.75" customHeight="1">
      <c r="A21" s="29">
        <v>21.0</v>
      </c>
      <c r="B21" s="25" t="s">
        <v>115</v>
      </c>
      <c r="C21" s="26" t="s">
        <v>5</v>
      </c>
      <c r="D21" s="27">
        <v>10.0</v>
      </c>
      <c r="E21" s="27">
        <v>10.0</v>
      </c>
      <c r="F21" s="28">
        <f t="shared" si="7"/>
        <v>0</v>
      </c>
      <c r="G21" s="29"/>
      <c r="H21" s="30">
        <v>440000.0</v>
      </c>
      <c r="I21" s="31">
        <f t="shared" si="2"/>
        <v>400000</v>
      </c>
      <c r="J21" s="32">
        <f t="shared" si="3"/>
        <v>40000</v>
      </c>
      <c r="K21" s="33">
        <v>0.45</v>
      </c>
      <c r="L21" s="34">
        <f t="shared" si="4"/>
        <v>18000</v>
      </c>
      <c r="M21" s="35">
        <v>5.0</v>
      </c>
      <c r="N21" s="36">
        <f t="shared" si="5"/>
        <v>90000</v>
      </c>
      <c r="O21" s="51"/>
      <c r="P21" s="51"/>
      <c r="Q21" s="5"/>
      <c r="R21" s="31">
        <f t="shared" si="6"/>
        <v>0</v>
      </c>
      <c r="S21" s="44"/>
      <c r="T21" s="52"/>
      <c r="U21" s="45"/>
      <c r="V21" s="10"/>
      <c r="W21" s="10"/>
      <c r="X21" s="10"/>
      <c r="Y21" s="10"/>
      <c r="Z21" s="10"/>
    </row>
    <row r="22" ht="18.75" customHeight="1">
      <c r="A22" s="29">
        <v>22.0</v>
      </c>
      <c r="B22" s="25" t="s">
        <v>116</v>
      </c>
      <c r="C22" s="26" t="s">
        <v>4</v>
      </c>
      <c r="D22" s="27">
        <v>10.0</v>
      </c>
      <c r="E22" s="27">
        <v>5.0</v>
      </c>
      <c r="F22" s="28">
        <f t="shared" si="7"/>
        <v>5</v>
      </c>
      <c r="G22" s="29"/>
      <c r="H22" s="30">
        <v>440000.0</v>
      </c>
      <c r="I22" s="31">
        <f t="shared" si="2"/>
        <v>400000</v>
      </c>
      <c r="J22" s="32">
        <f t="shared" si="3"/>
        <v>40000</v>
      </c>
      <c r="K22" s="33">
        <v>0.45</v>
      </c>
      <c r="L22" s="34">
        <f t="shared" si="4"/>
        <v>18000</v>
      </c>
      <c r="M22" s="35">
        <v>2.0</v>
      </c>
      <c r="N22" s="36">
        <f t="shared" si="5"/>
        <v>36000</v>
      </c>
      <c r="O22" s="51"/>
      <c r="P22" s="51"/>
      <c r="Q22" s="5"/>
      <c r="R22" s="31">
        <f t="shared" si="6"/>
        <v>0</v>
      </c>
      <c r="S22" s="44"/>
      <c r="T22" s="50"/>
      <c r="U22" s="45"/>
      <c r="V22" s="10"/>
      <c r="W22" s="10"/>
      <c r="X22" s="10"/>
      <c r="Y22" s="10"/>
      <c r="Z22" s="10"/>
    </row>
    <row r="23" ht="18.75" customHeight="1">
      <c r="A23" s="29">
        <v>25.0</v>
      </c>
      <c r="B23" s="25" t="s">
        <v>117</v>
      </c>
      <c r="C23" s="26" t="s">
        <v>5</v>
      </c>
      <c r="D23" s="25">
        <v>10.0</v>
      </c>
      <c r="E23" s="25">
        <v>0.0</v>
      </c>
      <c r="F23" s="28">
        <f t="shared" si="7"/>
        <v>10</v>
      </c>
      <c r="G23" s="29"/>
      <c r="H23" s="30">
        <v>440000.0</v>
      </c>
      <c r="I23" s="31">
        <f t="shared" si="2"/>
        <v>400000</v>
      </c>
      <c r="J23" s="32">
        <f t="shared" si="3"/>
        <v>40000</v>
      </c>
      <c r="K23" s="33">
        <v>0.45</v>
      </c>
      <c r="L23" s="34">
        <f t="shared" si="4"/>
        <v>18000</v>
      </c>
      <c r="M23" s="35">
        <v>0.0</v>
      </c>
      <c r="N23" s="36">
        <f t="shared" si="5"/>
        <v>0</v>
      </c>
      <c r="O23" s="56" t="s">
        <v>73</v>
      </c>
      <c r="P23" s="22"/>
      <c r="Q23" s="23"/>
      <c r="R23" s="57">
        <f>SUM(Q5:Q22)</f>
        <v>5720000</v>
      </c>
      <c r="S23" s="44"/>
      <c r="T23" s="10"/>
      <c r="U23" s="45"/>
      <c r="V23" s="10"/>
      <c r="W23" s="10"/>
      <c r="X23" s="10"/>
      <c r="Y23" s="10"/>
      <c r="Z23" s="10"/>
    </row>
    <row r="24" ht="18.75" customHeight="1">
      <c r="A24" s="29">
        <v>26.0</v>
      </c>
      <c r="B24" s="25" t="s">
        <v>118</v>
      </c>
      <c r="C24" s="26" t="s">
        <v>5</v>
      </c>
      <c r="D24" s="26">
        <v>30.0</v>
      </c>
      <c r="E24" s="26">
        <v>17.0</v>
      </c>
      <c r="F24" s="28">
        <f t="shared" si="7"/>
        <v>13</v>
      </c>
      <c r="G24" s="29"/>
      <c r="H24" s="30">
        <v>1320000.0</v>
      </c>
      <c r="I24" s="31">
        <f t="shared" si="2"/>
        <v>1200000</v>
      </c>
      <c r="J24" s="32">
        <f t="shared" si="3"/>
        <v>40000</v>
      </c>
      <c r="K24" s="33">
        <v>0.45</v>
      </c>
      <c r="L24" s="34">
        <f t="shared" si="4"/>
        <v>18000</v>
      </c>
      <c r="M24" s="35">
        <v>7.0</v>
      </c>
      <c r="N24" s="36">
        <f t="shared" si="5"/>
        <v>126000</v>
      </c>
      <c r="O24" s="56" t="s">
        <v>75</v>
      </c>
      <c r="P24" s="22"/>
      <c r="Q24" s="23"/>
      <c r="R24" s="59"/>
      <c r="S24" s="44"/>
      <c r="T24" s="10"/>
      <c r="U24" s="45"/>
      <c r="V24" s="10"/>
      <c r="W24" s="10"/>
      <c r="X24" s="10"/>
      <c r="Y24" s="10"/>
      <c r="Z24" s="10"/>
    </row>
    <row r="25" ht="18.75" customHeight="1">
      <c r="A25" s="29">
        <v>27.0</v>
      </c>
      <c r="B25" s="25" t="s">
        <v>119</v>
      </c>
      <c r="C25" s="26" t="s">
        <v>5</v>
      </c>
      <c r="D25" s="26">
        <v>10.0</v>
      </c>
      <c r="E25" s="26">
        <v>3.0</v>
      </c>
      <c r="F25" s="28">
        <f t="shared" si="7"/>
        <v>7</v>
      </c>
      <c r="G25" s="29"/>
      <c r="H25" s="30">
        <v>440000.0</v>
      </c>
      <c r="I25" s="31">
        <f t="shared" si="2"/>
        <v>400000</v>
      </c>
      <c r="J25" s="32">
        <f t="shared" si="3"/>
        <v>40000</v>
      </c>
      <c r="K25" s="33">
        <v>0.45</v>
      </c>
      <c r="L25" s="34">
        <f t="shared" si="4"/>
        <v>18000</v>
      </c>
      <c r="M25" s="35">
        <v>1.0</v>
      </c>
      <c r="N25" s="36">
        <f t="shared" si="5"/>
        <v>18000</v>
      </c>
      <c r="O25" s="56" t="s">
        <v>77</v>
      </c>
      <c r="P25" s="22"/>
      <c r="Q25" s="23"/>
      <c r="R25" s="59">
        <f>R24+R23</f>
        <v>5720000</v>
      </c>
      <c r="S25" s="44"/>
      <c r="T25" s="10"/>
      <c r="U25" s="45"/>
      <c r="V25" s="10"/>
      <c r="W25" s="10"/>
      <c r="X25" s="10"/>
      <c r="Y25" s="10"/>
      <c r="Z25" s="10"/>
    </row>
    <row r="26" ht="18.75" customHeight="1">
      <c r="A26" s="29">
        <v>28.0</v>
      </c>
      <c r="B26" s="46" t="s">
        <v>120</v>
      </c>
      <c r="C26" s="27" t="s">
        <v>5</v>
      </c>
      <c r="D26" s="27">
        <v>10.0</v>
      </c>
      <c r="E26" s="27">
        <v>4.0</v>
      </c>
      <c r="F26" s="28">
        <f t="shared" si="7"/>
        <v>6</v>
      </c>
      <c r="G26" s="29"/>
      <c r="H26" s="30">
        <v>440000.0</v>
      </c>
      <c r="I26" s="31">
        <f t="shared" si="2"/>
        <v>400000</v>
      </c>
      <c r="J26" s="32">
        <f t="shared" si="3"/>
        <v>40000</v>
      </c>
      <c r="K26" s="33">
        <v>0.45</v>
      </c>
      <c r="L26" s="34">
        <f t="shared" si="4"/>
        <v>18000</v>
      </c>
      <c r="M26" s="29">
        <v>3.0</v>
      </c>
      <c r="N26" s="36">
        <f t="shared" si="5"/>
        <v>54000</v>
      </c>
      <c r="O26" s="60" t="s">
        <v>78</v>
      </c>
      <c r="P26" s="2"/>
      <c r="Q26" s="3"/>
      <c r="R26" s="61">
        <v>1050000.0</v>
      </c>
      <c r="S26" s="44"/>
      <c r="T26" s="38"/>
      <c r="U26" s="38"/>
      <c r="X26" s="38"/>
      <c r="Y26" s="10"/>
      <c r="Z26" s="10"/>
    </row>
    <row r="27" ht="18.75" customHeight="1">
      <c r="A27" s="29">
        <v>29.0</v>
      </c>
      <c r="B27" s="46" t="s">
        <v>40</v>
      </c>
      <c r="C27" s="27" t="s">
        <v>5</v>
      </c>
      <c r="D27" s="46">
        <v>30.0</v>
      </c>
      <c r="E27" s="46">
        <v>14.0</v>
      </c>
      <c r="F27" s="28">
        <f t="shared" si="7"/>
        <v>16</v>
      </c>
      <c r="G27" s="29"/>
      <c r="H27" s="30">
        <v>1320000.0</v>
      </c>
      <c r="I27" s="31">
        <f t="shared" si="2"/>
        <v>1200000</v>
      </c>
      <c r="J27" s="32">
        <f t="shared" si="3"/>
        <v>40000</v>
      </c>
      <c r="K27" s="33">
        <v>0.45</v>
      </c>
      <c r="L27" s="34">
        <f t="shared" si="4"/>
        <v>18000</v>
      </c>
      <c r="M27" s="54">
        <v>8.0</v>
      </c>
      <c r="N27" s="36">
        <f t="shared" si="5"/>
        <v>144000</v>
      </c>
      <c r="O27" s="62"/>
      <c r="P27" s="63"/>
      <c r="Q27" s="64"/>
      <c r="R27" s="65"/>
      <c r="S27" s="44"/>
      <c r="T27" s="38"/>
      <c r="U27" s="38"/>
      <c r="X27" s="38"/>
      <c r="Y27" s="10"/>
      <c r="Z27" s="10"/>
    </row>
    <row r="28" ht="18.75" customHeight="1">
      <c r="A28" s="29">
        <v>30.0</v>
      </c>
      <c r="B28" s="46" t="s">
        <v>121</v>
      </c>
      <c r="C28" s="27" t="s">
        <v>5</v>
      </c>
      <c r="D28" s="27">
        <v>10.0</v>
      </c>
      <c r="E28" s="27">
        <v>10.0</v>
      </c>
      <c r="F28" s="28">
        <f t="shared" si="7"/>
        <v>0</v>
      </c>
      <c r="G28" s="29"/>
      <c r="H28" s="30">
        <v>440000.0</v>
      </c>
      <c r="I28" s="31">
        <f t="shared" si="2"/>
        <v>400000</v>
      </c>
      <c r="J28" s="32">
        <f t="shared" si="3"/>
        <v>40000</v>
      </c>
      <c r="K28" s="33">
        <v>0.45</v>
      </c>
      <c r="L28" s="34">
        <f t="shared" si="4"/>
        <v>18000</v>
      </c>
      <c r="M28" s="54">
        <v>5.0</v>
      </c>
      <c r="N28" s="36">
        <f t="shared" si="5"/>
        <v>90000</v>
      </c>
      <c r="O28" s="60" t="s">
        <v>79</v>
      </c>
      <c r="P28" s="2"/>
      <c r="Q28" s="3"/>
      <c r="R28" s="66">
        <f>SUMIF(N4:N40,"&gt;0",N4:N40)</f>
        <v>1998000</v>
      </c>
      <c r="S28" s="44"/>
      <c r="T28" s="38"/>
      <c r="U28" s="38"/>
      <c r="X28" s="38"/>
      <c r="Y28" s="10"/>
      <c r="Z28" s="10"/>
    </row>
    <row r="29" ht="18.75" customHeight="1">
      <c r="A29" s="29">
        <v>31.0</v>
      </c>
      <c r="B29" s="46" t="s">
        <v>122</v>
      </c>
      <c r="C29" s="27" t="s">
        <v>5</v>
      </c>
      <c r="D29" s="27">
        <v>10.0</v>
      </c>
      <c r="E29" s="27">
        <v>9.0</v>
      </c>
      <c r="F29" s="28">
        <f t="shared" si="7"/>
        <v>1</v>
      </c>
      <c r="G29" s="29"/>
      <c r="H29" s="30">
        <v>440000.0</v>
      </c>
      <c r="I29" s="31">
        <f t="shared" si="2"/>
        <v>400000</v>
      </c>
      <c r="J29" s="32">
        <f t="shared" si="3"/>
        <v>40000</v>
      </c>
      <c r="K29" s="33">
        <v>0.45</v>
      </c>
      <c r="L29" s="34">
        <f t="shared" si="4"/>
        <v>18000</v>
      </c>
      <c r="M29" s="54">
        <v>1.0</v>
      </c>
      <c r="N29" s="36">
        <f t="shared" si="5"/>
        <v>18000</v>
      </c>
      <c r="O29" s="62"/>
      <c r="P29" s="63"/>
      <c r="Q29" s="64"/>
      <c r="R29" s="65"/>
      <c r="S29" s="44"/>
      <c r="T29" s="38"/>
      <c r="U29" s="38"/>
      <c r="X29" s="38"/>
    </row>
    <row r="30" ht="18.75" customHeight="1">
      <c r="A30" s="29">
        <v>32.0</v>
      </c>
      <c r="B30" s="46" t="s">
        <v>123</v>
      </c>
      <c r="C30" s="27" t="s">
        <v>4</v>
      </c>
      <c r="D30" s="27">
        <v>10.0</v>
      </c>
      <c r="E30" s="27">
        <v>4.0</v>
      </c>
      <c r="F30" s="28">
        <v>10.0</v>
      </c>
      <c r="G30" s="29"/>
      <c r="H30" s="30">
        <v>440000.0</v>
      </c>
      <c r="I30" s="31">
        <f t="shared" si="2"/>
        <v>400000</v>
      </c>
      <c r="J30" s="32">
        <f t="shared" si="3"/>
        <v>40000</v>
      </c>
      <c r="K30" s="33">
        <v>0.45</v>
      </c>
      <c r="L30" s="34">
        <f t="shared" si="4"/>
        <v>18000</v>
      </c>
      <c r="M30" s="54">
        <v>4.0</v>
      </c>
      <c r="N30" s="36">
        <f t="shared" si="5"/>
        <v>72000</v>
      </c>
      <c r="O30" s="60" t="s">
        <v>80</v>
      </c>
      <c r="P30" s="2"/>
      <c r="Q30" s="3"/>
      <c r="R30" s="66">
        <f>R26+R28</f>
        <v>3048000</v>
      </c>
      <c r="S30" s="10"/>
      <c r="T30" s="10"/>
      <c r="U30" s="10"/>
      <c r="V30" s="10"/>
      <c r="W30" s="10"/>
      <c r="Y30" s="10"/>
      <c r="Z30" s="10"/>
    </row>
    <row r="31" ht="18.75" customHeight="1">
      <c r="A31" s="29">
        <v>33.0</v>
      </c>
      <c r="B31" s="46" t="s">
        <v>93</v>
      </c>
      <c r="C31" s="27" t="s">
        <v>5</v>
      </c>
      <c r="D31" s="27">
        <v>10.0</v>
      </c>
      <c r="E31" s="27">
        <v>2.0</v>
      </c>
      <c r="F31" s="28">
        <v>10.0</v>
      </c>
      <c r="G31" s="29"/>
      <c r="H31" s="30">
        <v>440000.0</v>
      </c>
      <c r="I31" s="31">
        <f t="shared" si="2"/>
        <v>400000</v>
      </c>
      <c r="J31" s="32">
        <f t="shared" si="3"/>
        <v>40000</v>
      </c>
      <c r="K31" s="33">
        <v>0.45</v>
      </c>
      <c r="L31" s="34">
        <f t="shared" si="4"/>
        <v>18000</v>
      </c>
      <c r="M31" s="54">
        <v>2.0</v>
      </c>
      <c r="N31" s="36">
        <f t="shared" si="5"/>
        <v>36000</v>
      </c>
      <c r="O31" s="62"/>
      <c r="P31" s="63"/>
      <c r="Q31" s="64"/>
      <c r="R31" s="65"/>
      <c r="S31" s="10"/>
      <c r="T31" s="10"/>
      <c r="U31" s="10"/>
      <c r="V31" s="10"/>
      <c r="W31" s="10"/>
    </row>
    <row r="32" ht="18.75" customHeight="1">
      <c r="A32" s="29">
        <v>34.0</v>
      </c>
      <c r="B32" s="46" t="s">
        <v>102</v>
      </c>
      <c r="C32" s="27" t="s">
        <v>5</v>
      </c>
      <c r="D32" s="27">
        <v>10.0</v>
      </c>
      <c r="E32" s="27">
        <v>10.0</v>
      </c>
      <c r="F32" s="28">
        <v>10.0</v>
      </c>
      <c r="G32" s="29"/>
      <c r="H32" s="30">
        <v>440000.0</v>
      </c>
      <c r="I32" s="31">
        <f t="shared" si="2"/>
        <v>400000</v>
      </c>
      <c r="J32" s="32">
        <f t="shared" si="3"/>
        <v>40000</v>
      </c>
      <c r="K32" s="33">
        <v>0.45</v>
      </c>
      <c r="L32" s="34">
        <f t="shared" si="4"/>
        <v>18000</v>
      </c>
      <c r="M32" s="54">
        <v>0.0</v>
      </c>
      <c r="N32" s="36">
        <f t="shared" si="5"/>
        <v>0</v>
      </c>
      <c r="O32" s="71" t="s">
        <v>124</v>
      </c>
      <c r="P32" s="22"/>
      <c r="Q32" s="22"/>
      <c r="R32" s="23"/>
      <c r="T32" s="10"/>
      <c r="U32" s="10"/>
      <c r="V32" s="10"/>
      <c r="W32" s="10"/>
    </row>
    <row r="33" ht="18.75" customHeight="1">
      <c r="A33" s="29">
        <v>35.0</v>
      </c>
      <c r="B33" s="46" t="s">
        <v>100</v>
      </c>
      <c r="C33" s="27" t="s">
        <v>5</v>
      </c>
      <c r="D33" s="27">
        <v>50.0</v>
      </c>
      <c r="E33" s="27">
        <v>1.0</v>
      </c>
      <c r="F33" s="28">
        <v>10.0</v>
      </c>
      <c r="G33" s="29"/>
      <c r="H33" s="30">
        <v>2200000.0</v>
      </c>
      <c r="I33" s="31">
        <f t="shared" si="2"/>
        <v>2000000</v>
      </c>
      <c r="J33" s="32">
        <f t="shared" si="3"/>
        <v>40000</v>
      </c>
      <c r="K33" s="33">
        <v>0.45</v>
      </c>
      <c r="L33" s="34">
        <f t="shared" si="4"/>
        <v>18000</v>
      </c>
      <c r="M33" s="54">
        <v>0.0</v>
      </c>
      <c r="N33" s="36">
        <f t="shared" si="5"/>
        <v>0</v>
      </c>
      <c r="O33" s="71" t="s">
        <v>125</v>
      </c>
      <c r="P33" s="22"/>
      <c r="Q33" s="22"/>
      <c r="R33" s="23"/>
      <c r="T33" s="10"/>
      <c r="U33" s="10"/>
      <c r="V33" s="10"/>
      <c r="W33" s="10"/>
    </row>
    <row r="34" ht="18.75" customHeight="1">
      <c r="A34" s="29">
        <v>36.0</v>
      </c>
      <c r="B34" s="46" t="s">
        <v>95</v>
      </c>
      <c r="C34" s="27" t="s">
        <v>5</v>
      </c>
      <c r="D34" s="27">
        <v>10.0</v>
      </c>
      <c r="E34" s="27">
        <v>0.0</v>
      </c>
      <c r="F34" s="28">
        <v>10.0</v>
      </c>
      <c r="G34" s="29"/>
      <c r="H34" s="30">
        <v>440000.0</v>
      </c>
      <c r="I34" s="31">
        <f t="shared" si="2"/>
        <v>400000</v>
      </c>
      <c r="J34" s="32">
        <f t="shared" si="3"/>
        <v>40000</v>
      </c>
      <c r="K34" s="33">
        <v>0.45</v>
      </c>
      <c r="L34" s="34">
        <f t="shared" si="4"/>
        <v>18000</v>
      </c>
      <c r="M34" s="54">
        <v>0.0</v>
      </c>
      <c r="N34" s="36">
        <f t="shared" si="5"/>
        <v>0</v>
      </c>
      <c r="O34" s="71" t="s">
        <v>126</v>
      </c>
      <c r="P34" s="22"/>
      <c r="Q34" s="22"/>
      <c r="R34" s="23"/>
      <c r="T34" s="10"/>
      <c r="U34" s="10"/>
      <c r="V34" s="10"/>
      <c r="W34" s="10"/>
    </row>
    <row r="35" ht="18.75" customHeight="1">
      <c r="A35" s="29">
        <v>37.0</v>
      </c>
      <c r="B35" s="46" t="s">
        <v>97</v>
      </c>
      <c r="C35" s="27" t="s">
        <v>4</v>
      </c>
      <c r="D35" s="27">
        <v>20.0</v>
      </c>
      <c r="E35" s="27">
        <v>1.0</v>
      </c>
      <c r="F35" s="28">
        <v>20.0</v>
      </c>
      <c r="G35" s="29"/>
      <c r="H35" s="30">
        <v>880000.0</v>
      </c>
      <c r="I35" s="31">
        <f t="shared" si="2"/>
        <v>800000</v>
      </c>
      <c r="J35" s="32">
        <f t="shared" si="3"/>
        <v>40000</v>
      </c>
      <c r="K35" s="33">
        <v>0.45</v>
      </c>
      <c r="L35" s="34">
        <f t="shared" si="4"/>
        <v>18000</v>
      </c>
      <c r="M35" s="54">
        <v>1.0</v>
      </c>
      <c r="N35" s="36">
        <f t="shared" si="5"/>
        <v>18000</v>
      </c>
      <c r="O35" s="71" t="s">
        <v>127</v>
      </c>
      <c r="P35" s="22"/>
      <c r="Q35" s="22"/>
      <c r="R35" s="23"/>
      <c r="T35" s="10"/>
      <c r="U35" s="10"/>
      <c r="V35" s="10"/>
      <c r="W35" s="10"/>
    </row>
    <row r="36" ht="18.75" customHeight="1">
      <c r="A36" s="29">
        <v>38.0</v>
      </c>
      <c r="B36" s="46" t="s">
        <v>128</v>
      </c>
      <c r="C36" s="27" t="s">
        <v>4</v>
      </c>
      <c r="D36" s="27">
        <v>20.0</v>
      </c>
      <c r="E36" s="27">
        <v>10.0</v>
      </c>
      <c r="F36" s="28">
        <v>10.0</v>
      </c>
      <c r="G36" s="29"/>
      <c r="H36" s="30">
        <v>880000.0</v>
      </c>
      <c r="I36" s="31">
        <f t="shared" si="2"/>
        <v>800000</v>
      </c>
      <c r="J36" s="32">
        <f t="shared" si="3"/>
        <v>40000</v>
      </c>
      <c r="K36" s="33">
        <v>0.45</v>
      </c>
      <c r="L36" s="34">
        <f t="shared" si="4"/>
        <v>18000</v>
      </c>
      <c r="M36" s="54">
        <v>10.0</v>
      </c>
      <c r="N36" s="36">
        <f t="shared" si="5"/>
        <v>180000</v>
      </c>
      <c r="O36" s="71" t="s">
        <v>129</v>
      </c>
      <c r="P36" s="22"/>
      <c r="Q36" s="22"/>
      <c r="R36" s="23"/>
      <c r="T36" s="10"/>
      <c r="U36" s="10"/>
      <c r="V36" s="10"/>
      <c r="W36" s="10"/>
    </row>
    <row r="37" ht="18.75" customHeight="1">
      <c r="A37" s="29">
        <v>39.0</v>
      </c>
      <c r="B37" s="46"/>
      <c r="C37" s="27"/>
      <c r="D37" s="27"/>
      <c r="E37" s="27"/>
      <c r="F37" s="28">
        <f t="shared" ref="F37:F40" si="8">D37-E37</f>
        <v>0</v>
      </c>
      <c r="G37" s="29"/>
      <c r="H37" s="55"/>
      <c r="I37" s="31">
        <f t="shared" si="2"/>
        <v>0</v>
      </c>
      <c r="J37" s="32" t="str">
        <f t="shared" si="3"/>
        <v>#DIV/0!</v>
      </c>
      <c r="K37" s="33">
        <v>0.45</v>
      </c>
      <c r="L37" s="34" t="str">
        <f t="shared" si="4"/>
        <v>#DIV/0!</v>
      </c>
      <c r="M37" s="81"/>
      <c r="N37" s="36" t="str">
        <f t="shared" si="5"/>
        <v>#DIV/0!</v>
      </c>
      <c r="O37" s="71" t="s">
        <v>130</v>
      </c>
      <c r="P37" s="22"/>
      <c r="Q37" s="22"/>
      <c r="R37" s="23"/>
      <c r="T37" s="10"/>
      <c r="U37" s="10"/>
      <c r="V37" s="10"/>
      <c r="W37" s="10"/>
    </row>
    <row r="38" ht="18.75" customHeight="1">
      <c r="A38" s="29">
        <v>40.0</v>
      </c>
      <c r="B38" s="46"/>
      <c r="C38" s="27"/>
      <c r="D38" s="27"/>
      <c r="E38" s="27"/>
      <c r="F38" s="28">
        <f t="shared" si="8"/>
        <v>0</v>
      </c>
      <c r="G38" s="29"/>
      <c r="H38" s="55"/>
      <c r="I38" s="31">
        <f t="shared" si="2"/>
        <v>0</v>
      </c>
      <c r="J38" s="32" t="str">
        <f t="shared" si="3"/>
        <v>#DIV/0!</v>
      </c>
      <c r="K38" s="33">
        <v>0.45</v>
      </c>
      <c r="L38" s="34" t="str">
        <f t="shared" si="4"/>
        <v>#DIV/0!</v>
      </c>
      <c r="M38" s="81"/>
      <c r="N38" s="36" t="str">
        <f t="shared" si="5"/>
        <v>#DIV/0!</v>
      </c>
      <c r="O38" s="71" t="s">
        <v>131</v>
      </c>
      <c r="P38" s="22"/>
      <c r="Q38" s="22"/>
      <c r="R38" s="23"/>
      <c r="T38" s="10"/>
      <c r="U38" s="10"/>
      <c r="V38" s="10"/>
      <c r="W38" s="10"/>
    </row>
    <row r="39" ht="18.75" customHeight="1">
      <c r="A39" s="29">
        <v>41.0</v>
      </c>
      <c r="B39" s="46"/>
      <c r="C39" s="27"/>
      <c r="D39" s="27"/>
      <c r="E39" s="27"/>
      <c r="F39" s="28">
        <f t="shared" si="8"/>
        <v>0</v>
      </c>
      <c r="G39" s="29"/>
      <c r="H39" s="55"/>
      <c r="I39" s="31">
        <f t="shared" si="2"/>
        <v>0</v>
      </c>
      <c r="J39" s="32" t="str">
        <f t="shared" si="3"/>
        <v>#DIV/0!</v>
      </c>
      <c r="K39" s="33">
        <v>0.45</v>
      </c>
      <c r="L39" s="34" t="str">
        <f t="shared" si="4"/>
        <v>#DIV/0!</v>
      </c>
      <c r="M39" s="81"/>
      <c r="N39" s="36" t="str">
        <f t="shared" si="5"/>
        <v>#DIV/0!</v>
      </c>
      <c r="O39" s="71" t="s">
        <v>132</v>
      </c>
      <c r="P39" s="22"/>
      <c r="Q39" s="22"/>
      <c r="R39" s="23"/>
      <c r="T39" s="10"/>
      <c r="U39" s="10"/>
      <c r="V39" s="10"/>
      <c r="W39" s="10"/>
      <c r="X39" s="10"/>
      <c r="Y39" s="10"/>
      <c r="Z39" s="10"/>
    </row>
    <row r="40" ht="18.75" customHeight="1">
      <c r="A40" s="29">
        <v>42.0</v>
      </c>
      <c r="B40" s="46"/>
      <c r="C40" s="27"/>
      <c r="D40" s="27"/>
      <c r="E40" s="27"/>
      <c r="F40" s="28">
        <f t="shared" si="8"/>
        <v>0</v>
      </c>
      <c r="G40" s="29"/>
      <c r="H40" s="55"/>
      <c r="I40" s="31">
        <f t="shared" si="2"/>
        <v>0</v>
      </c>
      <c r="J40" s="32" t="str">
        <f t="shared" si="3"/>
        <v>#DIV/0!</v>
      </c>
      <c r="K40" s="33">
        <v>0.45</v>
      </c>
      <c r="L40" s="34" t="str">
        <f t="shared" si="4"/>
        <v>#DIV/0!</v>
      </c>
      <c r="M40" s="81"/>
      <c r="N40" s="36" t="str">
        <f t="shared" si="5"/>
        <v>#DIV/0!</v>
      </c>
      <c r="O40" s="71" t="s">
        <v>133</v>
      </c>
      <c r="P40" s="22"/>
      <c r="Q40" s="22"/>
      <c r="R40" s="23"/>
      <c r="T40" s="10"/>
      <c r="U40" s="10"/>
      <c r="V40" s="10"/>
      <c r="W40" s="10"/>
      <c r="X40" s="10"/>
      <c r="Y40" s="10"/>
      <c r="Z40" s="10"/>
    </row>
    <row r="41" ht="16.5" customHeight="1">
      <c r="A41" s="7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6.5" customHeight="1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6.5" customHeight="1">
      <c r="A43" s="70"/>
      <c r="B43" s="70"/>
      <c r="C43" s="70"/>
      <c r="D43" s="70"/>
      <c r="E43" s="70"/>
      <c r="G43" s="70"/>
      <c r="H43" s="70"/>
      <c r="I43" s="70"/>
      <c r="J43" s="70"/>
      <c r="K43" s="70"/>
      <c r="L43" s="70"/>
      <c r="M43" s="70"/>
      <c r="N43" s="7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6.5" customHeight="1">
      <c r="B44" s="70"/>
      <c r="C44" s="70"/>
      <c r="D44" s="70"/>
      <c r="E44" s="70"/>
      <c r="G44" s="70"/>
      <c r="H44" s="70"/>
      <c r="I44" s="70"/>
      <c r="J44" s="70"/>
      <c r="K44" s="70"/>
      <c r="L44" s="70"/>
      <c r="M44" s="70"/>
      <c r="N44" s="7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6.5" customHeight="1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6.5" customHeight="1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70"/>
      <c r="B48" s="70"/>
      <c r="C48" s="70"/>
      <c r="E48" s="70"/>
      <c r="G48" s="70"/>
      <c r="H48" s="70"/>
      <c r="I48" s="70"/>
      <c r="J48" s="70"/>
      <c r="K48" s="70"/>
      <c r="L48" s="70"/>
      <c r="M48" s="70"/>
      <c r="N48" s="7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C49" s="70"/>
      <c r="D49" s="70"/>
      <c r="G49" s="70"/>
      <c r="H49" s="70"/>
      <c r="I49" s="70"/>
      <c r="J49" s="70"/>
      <c r="K49" s="70"/>
      <c r="L49" s="70"/>
      <c r="M49" s="70"/>
      <c r="N49" s="7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B50" s="70"/>
      <c r="C50" s="70"/>
      <c r="D50" s="70"/>
      <c r="E50" s="70"/>
      <c r="G50" s="70"/>
      <c r="H50" s="70"/>
      <c r="I50" s="70"/>
      <c r="J50" s="70"/>
      <c r="K50" s="70"/>
      <c r="L50" s="70"/>
      <c r="M50" s="70"/>
      <c r="N50" s="7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A1:H2"/>
    <mergeCell ref="O3:R3"/>
    <mergeCell ref="O23:Q23"/>
    <mergeCell ref="O24:Q24"/>
    <mergeCell ref="O25:Q25"/>
    <mergeCell ref="O26:Q27"/>
    <mergeCell ref="R26:R27"/>
    <mergeCell ref="U26:W26"/>
    <mergeCell ref="U27:W27"/>
    <mergeCell ref="O28:Q29"/>
    <mergeCell ref="R28:R29"/>
    <mergeCell ref="U28:W28"/>
    <mergeCell ref="U29:W29"/>
    <mergeCell ref="R30:R31"/>
    <mergeCell ref="O30:Q31"/>
    <mergeCell ref="O32:R32"/>
    <mergeCell ref="O33:R33"/>
    <mergeCell ref="O34:R34"/>
    <mergeCell ref="O35:R35"/>
    <mergeCell ref="O36:R36"/>
    <mergeCell ref="O37:R37"/>
    <mergeCell ref="A48:A50"/>
    <mergeCell ref="B48:B49"/>
    <mergeCell ref="C48:D48"/>
    <mergeCell ref="E48:F49"/>
    <mergeCell ref="E50:F50"/>
    <mergeCell ref="A52:B52"/>
    <mergeCell ref="O38:R38"/>
    <mergeCell ref="O39:R39"/>
    <mergeCell ref="O40:R40"/>
    <mergeCell ref="A41:N41"/>
    <mergeCell ref="A43:A44"/>
    <mergeCell ref="E43:F43"/>
    <mergeCell ref="E44:F44"/>
  </mergeCells>
  <printOptions/>
  <pageMargins bottom="0.75" footer="0.0" header="0.0" left="0.6997222304344177" right="0.6997222304344177" top="0.75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9.43"/>
    <col customWidth="1" min="3" max="3" width="6.43"/>
    <col customWidth="1" min="4" max="7" width="9.14"/>
    <col customWidth="1" min="8" max="8" width="13.57"/>
    <col customWidth="1" min="9" max="14" width="12.57"/>
    <col customWidth="1" min="15" max="16" width="10.57"/>
    <col customWidth="1" min="17" max="17" width="20.43"/>
    <col customWidth="1" min="18" max="18" width="21.14"/>
    <col customWidth="1" min="19" max="19" width="9.86"/>
    <col customWidth="1" min="20" max="20" width="9.0"/>
    <col customWidth="1" min="21" max="22" width="12.43"/>
    <col customWidth="1" min="23" max="24" width="9.43"/>
    <col customWidth="1" min="25" max="25" width="9.29"/>
    <col customWidth="1" min="26" max="26" width="9.43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  <c r="I1" s="4" t="s">
        <v>1</v>
      </c>
      <c r="J1" s="5" t="s">
        <v>134</v>
      </c>
      <c r="K1" s="6" t="s">
        <v>3</v>
      </c>
      <c r="L1" s="6" t="s">
        <v>4</v>
      </c>
      <c r="M1" s="6" t="s">
        <v>5</v>
      </c>
      <c r="N1" s="7" t="s">
        <v>6</v>
      </c>
      <c r="O1" s="7" t="s">
        <v>7</v>
      </c>
      <c r="P1" s="8" t="s">
        <v>8</v>
      </c>
      <c r="Q1" s="9" t="s">
        <v>9</v>
      </c>
      <c r="R1" s="7" t="s">
        <v>10</v>
      </c>
      <c r="S1" s="10"/>
      <c r="T1" s="10"/>
      <c r="U1" s="10"/>
      <c r="V1" s="10"/>
      <c r="W1" s="10"/>
      <c r="X1" s="10"/>
      <c r="Y1" s="10"/>
      <c r="Z1" s="10"/>
    </row>
    <row r="2" ht="21.75" customHeight="1">
      <c r="A2" s="11"/>
      <c r="B2" s="12"/>
      <c r="C2" s="12"/>
      <c r="D2" s="12"/>
      <c r="E2" s="12"/>
      <c r="F2" s="12"/>
      <c r="G2" s="12"/>
      <c r="H2" s="13"/>
      <c r="I2" s="4" t="s">
        <v>11</v>
      </c>
      <c r="J2" s="5" t="s">
        <v>135</v>
      </c>
      <c r="K2" s="14">
        <f>COUNTA(B4:B45)</f>
        <v>22</v>
      </c>
      <c r="L2" s="14">
        <f>COUNTIFS(C4:C45,"남")</f>
        <v>9</v>
      </c>
      <c r="M2" s="14">
        <f>COUNTIFS(C4:C45,"여")</f>
        <v>13</v>
      </c>
      <c r="N2" s="15">
        <f>AVERAGEIF(J4:J44,"&gt;0",J4:J44)</f>
        <v>40181.81818</v>
      </c>
      <c r="O2" s="16">
        <f>SUM(M4:M45)</f>
        <v>91</v>
      </c>
      <c r="P2" s="17">
        <f>SUM(F4:F45)</f>
        <v>193</v>
      </c>
      <c r="Q2" s="18">
        <f t="shared" ref="Q2:R2" si="1">SUM(Q5:Q27)</f>
        <v>4664000</v>
      </c>
      <c r="R2" s="18">
        <f t="shared" si="1"/>
        <v>4240000</v>
      </c>
      <c r="S2" s="10"/>
      <c r="T2" s="10"/>
      <c r="U2" s="10"/>
      <c r="V2" s="10"/>
      <c r="W2" s="10"/>
      <c r="X2" s="10"/>
      <c r="Y2" s="10"/>
      <c r="Z2" s="10"/>
    </row>
    <row r="3" ht="16.5" customHeight="1">
      <c r="A3" s="6" t="s">
        <v>13</v>
      </c>
      <c r="B3" s="4" t="s">
        <v>14</v>
      </c>
      <c r="C3" s="6" t="s">
        <v>15</v>
      </c>
      <c r="D3" s="6" t="s">
        <v>16</v>
      </c>
      <c r="E3" s="4" t="s">
        <v>17</v>
      </c>
      <c r="F3" s="4" t="s">
        <v>18</v>
      </c>
      <c r="G3" s="4" t="s">
        <v>19</v>
      </c>
      <c r="H3" s="4" t="s">
        <v>20</v>
      </c>
      <c r="I3" s="19" t="s">
        <v>21</v>
      </c>
      <c r="J3" s="19" t="s">
        <v>22</v>
      </c>
      <c r="K3" s="20" t="s">
        <v>23</v>
      </c>
      <c r="L3" s="19" t="s">
        <v>24</v>
      </c>
      <c r="M3" s="19" t="s">
        <v>25</v>
      </c>
      <c r="N3" s="19" t="s">
        <v>24</v>
      </c>
      <c r="O3" s="21" t="s">
        <v>26</v>
      </c>
      <c r="P3" s="22"/>
      <c r="Q3" s="22"/>
      <c r="R3" s="23"/>
      <c r="S3" s="10"/>
      <c r="T3" s="10"/>
      <c r="U3" s="10"/>
      <c r="V3" s="10"/>
      <c r="W3" s="10"/>
      <c r="X3" s="10"/>
      <c r="Y3" s="10"/>
      <c r="Z3" s="10"/>
    </row>
    <row r="4" ht="18.75" customHeight="1">
      <c r="A4" s="24">
        <v>1.0</v>
      </c>
      <c r="B4" s="72" t="s">
        <v>136</v>
      </c>
      <c r="C4" s="73" t="s">
        <v>5</v>
      </c>
      <c r="D4" s="74">
        <v>10.0</v>
      </c>
      <c r="E4" s="74">
        <v>7.0</v>
      </c>
      <c r="F4" s="75">
        <f t="shared" ref="F4:F45" si="2">D4-E4</f>
        <v>3</v>
      </c>
      <c r="G4" s="24" t="s">
        <v>137</v>
      </c>
      <c r="H4" s="82">
        <v>440000.0</v>
      </c>
      <c r="I4" s="83">
        <f t="shared" ref="I4:I45" si="3">IF(G4="현금",H4,H4/1.1)</f>
        <v>400000</v>
      </c>
      <c r="J4" s="77">
        <f t="shared" ref="J4:J45" si="4">I4/D4</f>
        <v>40000</v>
      </c>
      <c r="K4" s="33">
        <v>0.4</v>
      </c>
      <c r="L4" s="84">
        <f t="shared" ref="L4:L45" si="5">PRODUCT(K4,J4)</f>
        <v>16000</v>
      </c>
      <c r="M4" s="79">
        <v>5.0</v>
      </c>
      <c r="N4" s="36">
        <f t="shared" ref="N4:N45" si="6">PRODUCT(M4,L4)</f>
        <v>80000</v>
      </c>
      <c r="O4" s="37" t="s">
        <v>29</v>
      </c>
      <c r="P4" s="37" t="s">
        <v>30</v>
      </c>
      <c r="Q4" s="37" t="s">
        <v>31</v>
      </c>
      <c r="R4" s="37" t="s">
        <v>32</v>
      </c>
      <c r="S4" s="10"/>
      <c r="T4" s="10"/>
      <c r="U4" s="10"/>
      <c r="V4" s="10"/>
      <c r="W4" s="10"/>
      <c r="X4" s="10"/>
      <c r="Y4" s="38"/>
      <c r="Z4" s="10"/>
    </row>
    <row r="5" ht="18.75" customHeight="1">
      <c r="A5" s="29">
        <v>2.0</v>
      </c>
      <c r="B5" s="25" t="s">
        <v>138</v>
      </c>
      <c r="C5" s="26" t="s">
        <v>4</v>
      </c>
      <c r="D5" s="27">
        <v>50.0</v>
      </c>
      <c r="E5" s="27">
        <v>8.0</v>
      </c>
      <c r="F5" s="28">
        <f t="shared" si="2"/>
        <v>42</v>
      </c>
      <c r="G5" s="29" t="s">
        <v>34</v>
      </c>
      <c r="H5" s="85">
        <v>2200000.0</v>
      </c>
      <c r="I5" s="83">
        <f t="shared" si="3"/>
        <v>2000000</v>
      </c>
      <c r="J5" s="32">
        <f t="shared" si="4"/>
        <v>40000</v>
      </c>
      <c r="K5" s="33">
        <v>0.4</v>
      </c>
      <c r="L5" s="86">
        <f t="shared" si="5"/>
        <v>16000</v>
      </c>
      <c r="M5" s="35">
        <v>4.0</v>
      </c>
      <c r="N5" s="36">
        <f t="shared" si="6"/>
        <v>64000</v>
      </c>
      <c r="O5" s="39" t="s">
        <v>139</v>
      </c>
      <c r="P5" s="40" t="s">
        <v>34</v>
      </c>
      <c r="Q5" s="40">
        <v>440000.0</v>
      </c>
      <c r="R5" s="31">
        <f t="shared" ref="R5:R27" si="7">IF(P5="현금",Q5,Q5/1.1)</f>
        <v>400000</v>
      </c>
      <c r="S5" s="10"/>
      <c r="T5" s="10"/>
      <c r="U5" s="10"/>
      <c r="V5" s="10"/>
      <c r="W5" s="10"/>
      <c r="X5" s="10"/>
      <c r="Y5" s="38"/>
      <c r="Z5" s="10"/>
    </row>
    <row r="6" ht="18.75" customHeight="1">
      <c r="A6" s="29">
        <v>3.0</v>
      </c>
      <c r="B6" s="25" t="s">
        <v>140</v>
      </c>
      <c r="C6" s="26" t="s">
        <v>5</v>
      </c>
      <c r="D6" s="27">
        <v>30.0</v>
      </c>
      <c r="E6" s="27">
        <v>9.0</v>
      </c>
      <c r="F6" s="28">
        <f t="shared" si="2"/>
        <v>21</v>
      </c>
      <c r="G6" s="29" t="s">
        <v>34</v>
      </c>
      <c r="H6" s="85">
        <v>1320000.0</v>
      </c>
      <c r="I6" s="83">
        <f t="shared" si="3"/>
        <v>1200000</v>
      </c>
      <c r="J6" s="32">
        <f t="shared" si="4"/>
        <v>40000</v>
      </c>
      <c r="K6" s="33">
        <v>0.4</v>
      </c>
      <c r="L6" s="86">
        <f t="shared" si="5"/>
        <v>16000</v>
      </c>
      <c r="M6" s="35">
        <v>2.0</v>
      </c>
      <c r="N6" s="36">
        <f t="shared" si="6"/>
        <v>32000</v>
      </c>
      <c r="O6" s="39" t="s">
        <v>141</v>
      </c>
      <c r="P6" s="40" t="s">
        <v>34</v>
      </c>
      <c r="Q6" s="40">
        <v>880000.0</v>
      </c>
      <c r="R6" s="31">
        <f t="shared" si="7"/>
        <v>800000</v>
      </c>
      <c r="S6" s="10"/>
      <c r="T6" s="10"/>
      <c r="U6" s="10"/>
      <c r="V6" s="10"/>
      <c r="W6" s="10"/>
      <c r="X6" s="10"/>
      <c r="Y6" s="38"/>
      <c r="Z6" s="10"/>
    </row>
    <row r="7" ht="18.75" customHeight="1">
      <c r="A7" s="29">
        <v>4.0</v>
      </c>
      <c r="B7" s="25" t="s">
        <v>142</v>
      </c>
      <c r="C7" s="26" t="s">
        <v>5</v>
      </c>
      <c r="D7" s="27">
        <v>20.0</v>
      </c>
      <c r="E7" s="27">
        <v>13.0</v>
      </c>
      <c r="F7" s="28">
        <f t="shared" si="2"/>
        <v>7</v>
      </c>
      <c r="G7" s="29" t="s">
        <v>34</v>
      </c>
      <c r="H7" s="85">
        <v>880000.0</v>
      </c>
      <c r="I7" s="83">
        <f t="shared" si="3"/>
        <v>800000</v>
      </c>
      <c r="J7" s="32">
        <f t="shared" si="4"/>
        <v>40000</v>
      </c>
      <c r="K7" s="33">
        <v>0.4</v>
      </c>
      <c r="L7" s="86">
        <f t="shared" si="5"/>
        <v>16000</v>
      </c>
      <c r="M7" s="35">
        <v>2.0</v>
      </c>
      <c r="N7" s="36">
        <f t="shared" si="6"/>
        <v>32000</v>
      </c>
      <c r="O7" s="41" t="s">
        <v>141</v>
      </c>
      <c r="P7" s="40" t="s">
        <v>34</v>
      </c>
      <c r="Q7" s="40">
        <v>264000.0</v>
      </c>
      <c r="R7" s="31">
        <f t="shared" si="7"/>
        <v>240000</v>
      </c>
      <c r="S7" s="10"/>
      <c r="T7" s="10"/>
      <c r="U7" s="10"/>
      <c r="V7" s="10"/>
      <c r="W7" s="10"/>
      <c r="X7" s="10"/>
      <c r="Y7" s="38"/>
      <c r="Z7" s="10"/>
    </row>
    <row r="8" ht="18.75" customHeight="1">
      <c r="A8" s="29">
        <v>5.0</v>
      </c>
      <c r="B8" s="25" t="s">
        <v>143</v>
      </c>
      <c r="C8" s="26" t="s">
        <v>5</v>
      </c>
      <c r="D8" s="27">
        <v>10.0</v>
      </c>
      <c r="E8" s="27">
        <v>10.0</v>
      </c>
      <c r="F8" s="28">
        <f t="shared" si="2"/>
        <v>0</v>
      </c>
      <c r="G8" s="29" t="s">
        <v>43</v>
      </c>
      <c r="H8" s="85">
        <v>440000.0</v>
      </c>
      <c r="I8" s="83">
        <f t="shared" si="3"/>
        <v>440000</v>
      </c>
      <c r="J8" s="32">
        <f t="shared" si="4"/>
        <v>44000</v>
      </c>
      <c r="K8" s="33">
        <v>0.4</v>
      </c>
      <c r="L8" s="86">
        <f t="shared" si="5"/>
        <v>17600</v>
      </c>
      <c r="M8" s="35">
        <v>2.0</v>
      </c>
      <c r="N8" s="36">
        <f t="shared" si="6"/>
        <v>35200</v>
      </c>
      <c r="O8" s="39" t="s">
        <v>141</v>
      </c>
      <c r="P8" s="40" t="s">
        <v>34</v>
      </c>
      <c r="Q8" s="40">
        <v>880000.0</v>
      </c>
      <c r="R8" s="31">
        <f t="shared" si="7"/>
        <v>800000</v>
      </c>
      <c r="S8" s="10"/>
      <c r="T8" s="10"/>
      <c r="U8" s="10"/>
      <c r="V8" s="10"/>
      <c r="W8" s="10"/>
      <c r="X8" s="10"/>
      <c r="Y8" s="38"/>
      <c r="Z8" s="10"/>
    </row>
    <row r="9" ht="18.75" customHeight="1">
      <c r="A9" s="29">
        <v>6.0</v>
      </c>
      <c r="B9" s="25" t="s">
        <v>144</v>
      </c>
      <c r="C9" s="26" t="s">
        <v>4</v>
      </c>
      <c r="D9" s="27">
        <v>10.0</v>
      </c>
      <c r="E9" s="27">
        <v>9.0</v>
      </c>
      <c r="F9" s="28">
        <f t="shared" si="2"/>
        <v>1</v>
      </c>
      <c r="G9" s="29" t="s">
        <v>34</v>
      </c>
      <c r="H9" s="85">
        <v>440000.0</v>
      </c>
      <c r="I9" s="83">
        <f t="shared" si="3"/>
        <v>400000</v>
      </c>
      <c r="J9" s="32">
        <f t="shared" si="4"/>
        <v>40000</v>
      </c>
      <c r="K9" s="33">
        <v>0.4</v>
      </c>
      <c r="L9" s="86">
        <f t="shared" si="5"/>
        <v>16000</v>
      </c>
      <c r="M9" s="35">
        <v>2.0</v>
      </c>
      <c r="N9" s="36">
        <f t="shared" si="6"/>
        <v>32000</v>
      </c>
      <c r="O9" s="39" t="s">
        <v>140</v>
      </c>
      <c r="P9" s="40" t="s">
        <v>34</v>
      </c>
      <c r="Q9" s="43">
        <v>880000.0</v>
      </c>
      <c r="R9" s="31">
        <f t="shared" si="7"/>
        <v>800000</v>
      </c>
      <c r="S9" s="10"/>
      <c r="T9" s="10"/>
      <c r="U9" s="10"/>
      <c r="V9" s="10"/>
      <c r="W9" s="10"/>
      <c r="X9" s="10"/>
      <c r="Y9" s="38"/>
      <c r="Z9" s="10"/>
    </row>
    <row r="10" ht="18.75" customHeight="1">
      <c r="A10" s="29">
        <v>7.0</v>
      </c>
      <c r="B10" s="25" t="s">
        <v>145</v>
      </c>
      <c r="C10" s="26" t="s">
        <v>5</v>
      </c>
      <c r="D10" s="27">
        <v>20.0</v>
      </c>
      <c r="E10" s="27">
        <v>13.0</v>
      </c>
      <c r="F10" s="28">
        <f t="shared" si="2"/>
        <v>7</v>
      </c>
      <c r="G10" s="29" t="s">
        <v>34</v>
      </c>
      <c r="H10" s="85">
        <v>880000.0</v>
      </c>
      <c r="I10" s="83">
        <f t="shared" si="3"/>
        <v>800000</v>
      </c>
      <c r="J10" s="32">
        <f t="shared" si="4"/>
        <v>40000</v>
      </c>
      <c r="K10" s="33">
        <v>0.4</v>
      </c>
      <c r="L10" s="86">
        <f t="shared" si="5"/>
        <v>16000</v>
      </c>
      <c r="M10" s="35">
        <v>5.0</v>
      </c>
      <c r="N10" s="36">
        <f t="shared" si="6"/>
        <v>80000</v>
      </c>
      <c r="O10" s="39" t="s">
        <v>146</v>
      </c>
      <c r="P10" s="40" t="s">
        <v>34</v>
      </c>
      <c r="Q10" s="40">
        <v>880000.0</v>
      </c>
      <c r="R10" s="31">
        <f t="shared" si="7"/>
        <v>800000</v>
      </c>
      <c r="S10" s="10"/>
      <c r="T10" s="10"/>
      <c r="U10" s="10"/>
      <c r="V10" s="10"/>
      <c r="W10" s="10"/>
      <c r="X10" s="10"/>
      <c r="Y10" s="38"/>
      <c r="Z10" s="10"/>
    </row>
    <row r="11" ht="18.75" customHeight="1">
      <c r="A11" s="29">
        <v>8.0</v>
      </c>
      <c r="B11" s="25" t="s">
        <v>147</v>
      </c>
      <c r="C11" s="26" t="s">
        <v>4</v>
      </c>
      <c r="D11" s="27">
        <v>10.0</v>
      </c>
      <c r="E11" s="27">
        <v>8.0</v>
      </c>
      <c r="F11" s="28">
        <f t="shared" si="2"/>
        <v>2</v>
      </c>
      <c r="G11" s="29" t="s">
        <v>34</v>
      </c>
      <c r="H11" s="85">
        <v>440000.0</v>
      </c>
      <c r="I11" s="83">
        <f t="shared" si="3"/>
        <v>400000</v>
      </c>
      <c r="J11" s="32">
        <f t="shared" si="4"/>
        <v>40000</v>
      </c>
      <c r="K11" s="33">
        <v>0.4</v>
      </c>
      <c r="L11" s="86">
        <f t="shared" si="5"/>
        <v>16000</v>
      </c>
      <c r="M11" s="35">
        <v>3.0</v>
      </c>
      <c r="N11" s="36">
        <f t="shared" si="6"/>
        <v>48000</v>
      </c>
      <c r="O11" s="39" t="s">
        <v>104</v>
      </c>
      <c r="P11" s="40" t="s">
        <v>34</v>
      </c>
      <c r="Q11" s="43">
        <v>440000.0</v>
      </c>
      <c r="R11" s="31">
        <f t="shared" si="7"/>
        <v>400000</v>
      </c>
      <c r="S11" s="10"/>
      <c r="T11" s="10"/>
      <c r="U11" s="10"/>
      <c r="V11" s="10"/>
      <c r="W11" s="10"/>
      <c r="X11" s="10"/>
      <c r="Y11" s="38"/>
      <c r="Z11" s="10"/>
    </row>
    <row r="12" ht="18.75" customHeight="1">
      <c r="A12" s="29">
        <v>9.0</v>
      </c>
      <c r="B12" s="25" t="s">
        <v>48</v>
      </c>
      <c r="C12" s="26" t="s">
        <v>5</v>
      </c>
      <c r="D12" s="27">
        <v>20.0</v>
      </c>
      <c r="E12" s="27">
        <v>3.0</v>
      </c>
      <c r="F12" s="28">
        <f t="shared" si="2"/>
        <v>17</v>
      </c>
      <c r="G12" s="29" t="s">
        <v>34</v>
      </c>
      <c r="H12" s="85">
        <v>880000.0</v>
      </c>
      <c r="I12" s="83">
        <f t="shared" si="3"/>
        <v>800000</v>
      </c>
      <c r="J12" s="32">
        <f t="shared" si="4"/>
        <v>40000</v>
      </c>
      <c r="K12" s="33">
        <v>0.4</v>
      </c>
      <c r="L12" s="86">
        <f t="shared" si="5"/>
        <v>16000</v>
      </c>
      <c r="M12" s="35">
        <v>3.0</v>
      </c>
      <c r="N12" s="36">
        <f t="shared" si="6"/>
        <v>48000</v>
      </c>
      <c r="O12" s="39"/>
      <c r="P12" s="39"/>
      <c r="Q12" s="40"/>
      <c r="R12" s="31">
        <f t="shared" si="7"/>
        <v>0</v>
      </c>
      <c r="S12" s="10"/>
      <c r="T12" s="10"/>
      <c r="U12" s="10"/>
      <c r="V12" s="10"/>
      <c r="W12" s="10"/>
      <c r="X12" s="10"/>
      <c r="Y12" s="38"/>
      <c r="Z12" s="10"/>
    </row>
    <row r="13" ht="18.75" customHeight="1">
      <c r="A13" s="29">
        <v>10.0</v>
      </c>
      <c r="B13" s="25" t="s">
        <v>148</v>
      </c>
      <c r="C13" s="26" t="s">
        <v>5</v>
      </c>
      <c r="D13" s="27">
        <v>20.0</v>
      </c>
      <c r="E13" s="27">
        <v>9.0</v>
      </c>
      <c r="F13" s="28">
        <f t="shared" si="2"/>
        <v>11</v>
      </c>
      <c r="G13" s="29" t="s">
        <v>137</v>
      </c>
      <c r="H13" s="30">
        <v>880000.0</v>
      </c>
      <c r="I13" s="31">
        <f t="shared" si="3"/>
        <v>800000</v>
      </c>
      <c r="J13" s="32">
        <f t="shared" si="4"/>
        <v>40000</v>
      </c>
      <c r="K13" s="33">
        <v>0.4</v>
      </c>
      <c r="L13" s="34">
        <f t="shared" si="5"/>
        <v>16000</v>
      </c>
      <c r="M13" s="35">
        <v>8.0</v>
      </c>
      <c r="N13" s="36">
        <f t="shared" si="6"/>
        <v>128000</v>
      </c>
      <c r="O13" s="39"/>
      <c r="P13" s="39"/>
      <c r="Q13" s="40"/>
      <c r="R13" s="31">
        <f t="shared" si="7"/>
        <v>0</v>
      </c>
      <c r="S13" s="44"/>
      <c r="T13" s="10"/>
      <c r="U13" s="45"/>
      <c r="V13" s="45"/>
      <c r="W13" s="10"/>
      <c r="X13" s="10"/>
      <c r="Y13" s="38"/>
      <c r="Z13" s="10"/>
    </row>
    <row r="14" ht="18.75" customHeight="1">
      <c r="A14" s="29">
        <v>11.0</v>
      </c>
      <c r="B14" s="25" t="s">
        <v>139</v>
      </c>
      <c r="C14" s="26" t="s">
        <v>4</v>
      </c>
      <c r="D14" s="27">
        <v>10.0</v>
      </c>
      <c r="E14" s="27">
        <v>3.0</v>
      </c>
      <c r="F14" s="28">
        <f t="shared" si="2"/>
        <v>7</v>
      </c>
      <c r="G14" s="29" t="s">
        <v>137</v>
      </c>
      <c r="H14" s="30">
        <v>440000.0</v>
      </c>
      <c r="I14" s="31">
        <f t="shared" si="3"/>
        <v>400000</v>
      </c>
      <c r="J14" s="32">
        <f t="shared" si="4"/>
        <v>40000</v>
      </c>
      <c r="K14" s="33">
        <v>0.4</v>
      </c>
      <c r="L14" s="34">
        <f t="shared" si="5"/>
        <v>16000</v>
      </c>
      <c r="M14" s="35">
        <v>3.0</v>
      </c>
      <c r="N14" s="36">
        <f t="shared" si="6"/>
        <v>48000</v>
      </c>
      <c r="O14" s="39"/>
      <c r="P14" s="39"/>
      <c r="Q14" s="40"/>
      <c r="R14" s="31">
        <f t="shared" si="7"/>
        <v>0</v>
      </c>
      <c r="S14" s="44"/>
      <c r="T14" s="10"/>
      <c r="U14" s="45"/>
      <c r="V14" s="10"/>
      <c r="W14" s="10"/>
      <c r="X14" s="10"/>
      <c r="Y14" s="38"/>
      <c r="Z14" s="10"/>
    </row>
    <row r="15" ht="18.75" customHeight="1">
      <c r="A15" s="29">
        <v>12.0</v>
      </c>
      <c r="B15" s="42" t="s">
        <v>149</v>
      </c>
      <c r="C15" s="26" t="s">
        <v>4</v>
      </c>
      <c r="D15" s="27">
        <v>20.0</v>
      </c>
      <c r="E15" s="27">
        <v>6.0</v>
      </c>
      <c r="F15" s="28">
        <f t="shared" si="2"/>
        <v>14</v>
      </c>
      <c r="G15" s="29" t="s">
        <v>137</v>
      </c>
      <c r="H15" s="30">
        <v>880000.0</v>
      </c>
      <c r="I15" s="31">
        <f t="shared" si="3"/>
        <v>800000</v>
      </c>
      <c r="J15" s="32">
        <f t="shared" si="4"/>
        <v>40000</v>
      </c>
      <c r="K15" s="33">
        <v>0.4</v>
      </c>
      <c r="L15" s="34">
        <f t="shared" si="5"/>
        <v>16000</v>
      </c>
      <c r="M15" s="35">
        <v>4.0</v>
      </c>
      <c r="N15" s="36">
        <f t="shared" si="6"/>
        <v>64000</v>
      </c>
      <c r="O15" s="39"/>
      <c r="P15" s="39"/>
      <c r="Q15" s="40"/>
      <c r="R15" s="31">
        <f t="shared" si="7"/>
        <v>0</v>
      </c>
      <c r="S15" s="44"/>
      <c r="T15" s="10"/>
      <c r="U15" s="45"/>
      <c r="V15" s="45"/>
      <c r="W15" s="10"/>
      <c r="X15" s="10"/>
      <c r="Y15" s="38"/>
      <c r="Z15" s="10"/>
    </row>
    <row r="16" ht="18.75" customHeight="1">
      <c r="A16" s="29">
        <v>13.0</v>
      </c>
      <c r="B16" s="42" t="s">
        <v>150</v>
      </c>
      <c r="C16" s="26" t="s">
        <v>5</v>
      </c>
      <c r="D16" s="27">
        <v>10.0</v>
      </c>
      <c r="E16" s="27">
        <v>5.0</v>
      </c>
      <c r="F16" s="28">
        <f t="shared" si="2"/>
        <v>5</v>
      </c>
      <c r="G16" s="29" t="s">
        <v>137</v>
      </c>
      <c r="H16" s="30">
        <v>440000.0</v>
      </c>
      <c r="I16" s="31">
        <f t="shared" si="3"/>
        <v>400000</v>
      </c>
      <c r="J16" s="32">
        <f t="shared" si="4"/>
        <v>40000</v>
      </c>
      <c r="K16" s="33">
        <v>0.4</v>
      </c>
      <c r="L16" s="34">
        <f t="shared" si="5"/>
        <v>16000</v>
      </c>
      <c r="M16" s="35">
        <v>4.0</v>
      </c>
      <c r="N16" s="36">
        <f t="shared" si="6"/>
        <v>64000</v>
      </c>
      <c r="O16" s="39"/>
      <c r="P16" s="39"/>
      <c r="Q16" s="40"/>
      <c r="R16" s="31">
        <f t="shared" si="7"/>
        <v>0</v>
      </c>
      <c r="S16" s="44"/>
      <c r="T16" s="10"/>
      <c r="U16" s="45"/>
      <c r="V16" s="10"/>
      <c r="W16" s="10"/>
      <c r="X16" s="10"/>
      <c r="Y16" s="38"/>
      <c r="Z16" s="10"/>
    </row>
    <row r="17" ht="18.75" customHeight="1">
      <c r="A17" s="29">
        <v>14.0</v>
      </c>
      <c r="B17" s="42" t="s">
        <v>151</v>
      </c>
      <c r="C17" s="26" t="s">
        <v>4</v>
      </c>
      <c r="D17" s="27">
        <v>5.0</v>
      </c>
      <c r="E17" s="27">
        <v>5.0</v>
      </c>
      <c r="F17" s="28">
        <f t="shared" si="2"/>
        <v>0</v>
      </c>
      <c r="G17" s="29" t="s">
        <v>34</v>
      </c>
      <c r="H17" s="30">
        <v>220000.0</v>
      </c>
      <c r="I17" s="31">
        <f t="shared" si="3"/>
        <v>200000</v>
      </c>
      <c r="J17" s="32">
        <f t="shared" si="4"/>
        <v>40000</v>
      </c>
      <c r="K17" s="33">
        <v>0.4</v>
      </c>
      <c r="L17" s="34">
        <f t="shared" si="5"/>
        <v>16000</v>
      </c>
      <c r="M17" s="35">
        <v>1.0</v>
      </c>
      <c r="N17" s="36">
        <f t="shared" si="6"/>
        <v>16000</v>
      </c>
      <c r="O17" s="39"/>
      <c r="P17" s="39"/>
      <c r="Q17" s="40"/>
      <c r="R17" s="31">
        <f t="shared" si="7"/>
        <v>0</v>
      </c>
      <c r="S17" s="44"/>
      <c r="T17" s="10"/>
      <c r="U17" s="45"/>
      <c r="V17" s="45"/>
      <c r="W17" s="10"/>
      <c r="X17" s="10"/>
      <c r="Y17" s="38"/>
      <c r="Z17" s="10"/>
    </row>
    <row r="18" ht="18.75" customHeight="1">
      <c r="A18" s="29">
        <v>15.0</v>
      </c>
      <c r="B18" s="25" t="s">
        <v>152</v>
      </c>
      <c r="C18" s="26" t="s">
        <v>4</v>
      </c>
      <c r="D18" s="27">
        <v>5.0</v>
      </c>
      <c r="E18" s="27">
        <v>5.0</v>
      </c>
      <c r="F18" s="28">
        <f t="shared" si="2"/>
        <v>0</v>
      </c>
      <c r="G18" s="29" t="s">
        <v>34</v>
      </c>
      <c r="H18" s="30">
        <v>220000.0</v>
      </c>
      <c r="I18" s="31">
        <f t="shared" si="3"/>
        <v>200000</v>
      </c>
      <c r="J18" s="32">
        <f t="shared" si="4"/>
        <v>40000</v>
      </c>
      <c r="K18" s="33">
        <v>0.4</v>
      </c>
      <c r="L18" s="34">
        <f t="shared" si="5"/>
        <v>16000</v>
      </c>
      <c r="M18" s="35">
        <v>1.0</v>
      </c>
      <c r="N18" s="36">
        <f t="shared" si="6"/>
        <v>16000</v>
      </c>
      <c r="O18" s="39"/>
      <c r="P18" s="39"/>
      <c r="Q18" s="40"/>
      <c r="R18" s="31">
        <f t="shared" si="7"/>
        <v>0</v>
      </c>
      <c r="S18" s="44"/>
      <c r="T18" s="10"/>
      <c r="U18" s="45"/>
      <c r="V18" s="45"/>
      <c r="W18" s="10"/>
      <c r="X18" s="10"/>
      <c r="Y18" s="38"/>
      <c r="Z18" s="10"/>
    </row>
    <row r="19" ht="18.75" customHeight="1">
      <c r="A19" s="29">
        <v>16.0</v>
      </c>
      <c r="B19" s="25" t="s">
        <v>146</v>
      </c>
      <c r="C19" s="26" t="s">
        <v>5</v>
      </c>
      <c r="D19" s="27">
        <v>30.0</v>
      </c>
      <c r="E19" s="27">
        <v>10.0</v>
      </c>
      <c r="F19" s="28">
        <f t="shared" si="2"/>
        <v>20</v>
      </c>
      <c r="G19" s="29" t="s">
        <v>137</v>
      </c>
      <c r="H19" s="30">
        <v>1320000.0</v>
      </c>
      <c r="I19" s="31">
        <f t="shared" si="3"/>
        <v>1200000</v>
      </c>
      <c r="J19" s="32">
        <f t="shared" si="4"/>
        <v>40000</v>
      </c>
      <c r="K19" s="33">
        <v>0.4</v>
      </c>
      <c r="L19" s="34">
        <f t="shared" si="5"/>
        <v>16000</v>
      </c>
      <c r="M19" s="35">
        <v>4.0</v>
      </c>
      <c r="N19" s="36">
        <f t="shared" si="6"/>
        <v>64000</v>
      </c>
      <c r="O19" s="39"/>
      <c r="P19" s="40"/>
      <c r="Q19" s="40"/>
      <c r="R19" s="31">
        <f t="shared" si="7"/>
        <v>0</v>
      </c>
      <c r="S19" s="44"/>
      <c r="T19" s="10"/>
      <c r="U19" s="45"/>
      <c r="V19" s="10"/>
      <c r="W19" s="10"/>
      <c r="X19" s="10"/>
      <c r="Y19" s="38"/>
      <c r="Z19" s="10"/>
    </row>
    <row r="20" ht="18.75" customHeight="1">
      <c r="A20" s="29">
        <v>17.0</v>
      </c>
      <c r="B20" s="25" t="s">
        <v>104</v>
      </c>
      <c r="C20" s="26" t="s">
        <v>5</v>
      </c>
      <c r="D20" s="27">
        <v>25.0</v>
      </c>
      <c r="E20" s="27">
        <v>13.0</v>
      </c>
      <c r="F20" s="28">
        <f t="shared" si="2"/>
        <v>12</v>
      </c>
      <c r="G20" s="29" t="s">
        <v>34</v>
      </c>
      <c r="H20" s="30">
        <v>1100000.0</v>
      </c>
      <c r="I20" s="31">
        <f t="shared" si="3"/>
        <v>1000000</v>
      </c>
      <c r="J20" s="32">
        <f t="shared" si="4"/>
        <v>40000</v>
      </c>
      <c r="K20" s="33">
        <v>0.4</v>
      </c>
      <c r="L20" s="34">
        <f t="shared" si="5"/>
        <v>16000</v>
      </c>
      <c r="M20" s="35">
        <v>6.0</v>
      </c>
      <c r="N20" s="36">
        <f t="shared" si="6"/>
        <v>96000</v>
      </c>
      <c r="O20" s="39"/>
      <c r="P20" s="40"/>
      <c r="Q20" s="40"/>
      <c r="R20" s="31">
        <f t="shared" si="7"/>
        <v>0</v>
      </c>
      <c r="S20" s="44"/>
      <c r="T20" s="10"/>
      <c r="U20" s="45"/>
      <c r="V20" s="45"/>
      <c r="W20" s="10"/>
      <c r="X20" s="10"/>
      <c r="Y20" s="38"/>
      <c r="Z20" s="10"/>
    </row>
    <row r="21" ht="18.75" customHeight="1">
      <c r="A21" s="29">
        <v>18.0</v>
      </c>
      <c r="B21" s="25" t="s">
        <v>153</v>
      </c>
      <c r="C21" s="26" t="s">
        <v>5</v>
      </c>
      <c r="D21" s="27">
        <v>10.0</v>
      </c>
      <c r="E21" s="27">
        <v>6.0</v>
      </c>
      <c r="F21" s="28">
        <f t="shared" si="2"/>
        <v>4</v>
      </c>
      <c r="G21" s="29" t="s">
        <v>34</v>
      </c>
      <c r="H21" s="30">
        <v>440000.0</v>
      </c>
      <c r="I21" s="31">
        <f t="shared" si="3"/>
        <v>400000</v>
      </c>
      <c r="J21" s="32">
        <f t="shared" si="4"/>
        <v>40000</v>
      </c>
      <c r="K21" s="33">
        <v>0.4</v>
      </c>
      <c r="L21" s="34">
        <f t="shared" si="5"/>
        <v>16000</v>
      </c>
      <c r="M21" s="35">
        <v>1.0</v>
      </c>
      <c r="N21" s="36">
        <f t="shared" si="6"/>
        <v>16000</v>
      </c>
      <c r="O21" s="39"/>
      <c r="P21" s="40"/>
      <c r="Q21" s="40"/>
      <c r="R21" s="31">
        <f t="shared" si="7"/>
        <v>0</v>
      </c>
      <c r="S21" s="44"/>
      <c r="T21" s="10"/>
      <c r="U21" s="45"/>
      <c r="V21" s="45"/>
      <c r="W21" s="10"/>
      <c r="X21" s="10"/>
      <c r="Y21" s="38"/>
      <c r="Z21" s="10"/>
    </row>
    <row r="22" ht="18.75" customHeight="1">
      <c r="A22" s="29">
        <v>19.0</v>
      </c>
      <c r="B22" s="25" t="s">
        <v>154</v>
      </c>
      <c r="C22" s="26" t="s">
        <v>4</v>
      </c>
      <c r="D22" s="27">
        <v>5.0</v>
      </c>
      <c r="E22" s="27">
        <v>3.0</v>
      </c>
      <c r="F22" s="28">
        <f t="shared" si="2"/>
        <v>2</v>
      </c>
      <c r="G22" s="29" t="s">
        <v>137</v>
      </c>
      <c r="H22" s="30">
        <v>220000.0</v>
      </c>
      <c r="I22" s="31">
        <f t="shared" si="3"/>
        <v>200000</v>
      </c>
      <c r="J22" s="32">
        <f t="shared" si="4"/>
        <v>40000</v>
      </c>
      <c r="K22" s="33">
        <v>0.4</v>
      </c>
      <c r="L22" s="34">
        <f t="shared" si="5"/>
        <v>16000</v>
      </c>
      <c r="M22" s="35">
        <v>1.0</v>
      </c>
      <c r="N22" s="36">
        <f t="shared" si="6"/>
        <v>16000</v>
      </c>
      <c r="O22" s="39"/>
      <c r="P22" s="40"/>
      <c r="Q22" s="40"/>
      <c r="R22" s="31">
        <f t="shared" si="7"/>
        <v>0</v>
      </c>
      <c r="S22" s="44"/>
      <c r="T22" s="47"/>
      <c r="U22" s="45"/>
      <c r="V22" s="45"/>
      <c r="W22" s="10"/>
      <c r="X22" s="10"/>
      <c r="Y22" s="38"/>
      <c r="Z22" s="10"/>
    </row>
    <row r="23" ht="18.75" customHeight="1">
      <c r="A23" s="29">
        <v>20.0</v>
      </c>
      <c r="B23" s="25" t="s">
        <v>155</v>
      </c>
      <c r="C23" s="26" t="s">
        <v>5</v>
      </c>
      <c r="D23" s="27">
        <v>10.0</v>
      </c>
      <c r="E23" s="27">
        <v>10.0</v>
      </c>
      <c r="F23" s="28">
        <f t="shared" si="2"/>
        <v>0</v>
      </c>
      <c r="G23" s="29" t="s">
        <v>34</v>
      </c>
      <c r="H23" s="30">
        <v>440000.0</v>
      </c>
      <c r="I23" s="31">
        <f t="shared" si="3"/>
        <v>400000</v>
      </c>
      <c r="J23" s="32">
        <f t="shared" si="4"/>
        <v>40000</v>
      </c>
      <c r="K23" s="33">
        <v>0.4</v>
      </c>
      <c r="L23" s="34">
        <f t="shared" si="5"/>
        <v>16000</v>
      </c>
      <c r="M23" s="35">
        <v>1.0</v>
      </c>
      <c r="N23" s="36">
        <f t="shared" si="6"/>
        <v>16000</v>
      </c>
      <c r="O23" s="48"/>
      <c r="P23" s="49"/>
      <c r="Q23" s="5"/>
      <c r="R23" s="31">
        <f t="shared" si="7"/>
        <v>0</v>
      </c>
      <c r="S23" s="44"/>
      <c r="T23" s="50"/>
      <c r="U23" s="45"/>
      <c r="V23" s="10"/>
      <c r="W23" s="10"/>
      <c r="X23" s="10"/>
      <c r="Y23" s="10"/>
      <c r="Z23" s="10"/>
    </row>
    <row r="24" ht="18.75" customHeight="1">
      <c r="A24" s="29">
        <v>21.0</v>
      </c>
      <c r="B24" s="25" t="s">
        <v>141</v>
      </c>
      <c r="C24" s="26" t="s">
        <v>4</v>
      </c>
      <c r="D24" s="27">
        <v>46.0</v>
      </c>
      <c r="E24" s="27">
        <v>28.0</v>
      </c>
      <c r="F24" s="28">
        <f t="shared" si="2"/>
        <v>18</v>
      </c>
      <c r="G24" s="29" t="s">
        <v>34</v>
      </c>
      <c r="H24" s="30">
        <v>2024000.0</v>
      </c>
      <c r="I24" s="31">
        <f t="shared" si="3"/>
        <v>1840000</v>
      </c>
      <c r="J24" s="32">
        <f t="shared" si="4"/>
        <v>40000</v>
      </c>
      <c r="K24" s="33">
        <v>0.4</v>
      </c>
      <c r="L24" s="34">
        <f t="shared" si="5"/>
        <v>16000</v>
      </c>
      <c r="M24" s="35">
        <v>28.0</v>
      </c>
      <c r="N24" s="36">
        <f t="shared" si="6"/>
        <v>448000</v>
      </c>
      <c r="O24" s="51"/>
      <c r="P24" s="51"/>
      <c r="Q24" s="5"/>
      <c r="R24" s="31">
        <f t="shared" si="7"/>
        <v>0</v>
      </c>
      <c r="S24" s="44"/>
      <c r="T24" s="52"/>
      <c r="U24" s="45"/>
      <c r="V24" s="10"/>
      <c r="W24" s="10"/>
      <c r="X24" s="10"/>
      <c r="Y24" s="10"/>
      <c r="Z24" s="10"/>
    </row>
    <row r="25" ht="18.75" customHeight="1">
      <c r="A25" s="29">
        <v>22.0</v>
      </c>
      <c r="B25" s="25" t="s">
        <v>156</v>
      </c>
      <c r="C25" s="26" t="s">
        <v>5</v>
      </c>
      <c r="D25" s="27">
        <v>5.0</v>
      </c>
      <c r="E25" s="27">
        <v>5.0</v>
      </c>
      <c r="F25" s="28">
        <f t="shared" si="2"/>
        <v>0</v>
      </c>
      <c r="G25" s="29" t="s">
        <v>34</v>
      </c>
      <c r="H25" s="30">
        <v>220000.0</v>
      </c>
      <c r="I25" s="31">
        <f t="shared" si="3"/>
        <v>200000</v>
      </c>
      <c r="J25" s="32">
        <f t="shared" si="4"/>
        <v>40000</v>
      </c>
      <c r="K25" s="33">
        <v>0.4</v>
      </c>
      <c r="L25" s="34">
        <f t="shared" si="5"/>
        <v>16000</v>
      </c>
      <c r="M25" s="35">
        <v>1.0</v>
      </c>
      <c r="N25" s="36">
        <f t="shared" si="6"/>
        <v>16000</v>
      </c>
      <c r="O25" s="51"/>
      <c r="P25" s="51"/>
      <c r="Q25" s="5"/>
      <c r="R25" s="31">
        <f t="shared" si="7"/>
        <v>0</v>
      </c>
      <c r="S25" s="44"/>
      <c r="T25" s="50"/>
      <c r="U25" s="45"/>
      <c r="V25" s="10"/>
      <c r="W25" s="10"/>
      <c r="X25" s="10"/>
      <c r="Y25" s="10"/>
      <c r="Z25" s="10"/>
    </row>
    <row r="26" ht="18.75" customHeight="1">
      <c r="A26" s="29">
        <v>23.0</v>
      </c>
      <c r="B26" s="25"/>
      <c r="C26" s="26"/>
      <c r="D26" s="26"/>
      <c r="E26" s="26"/>
      <c r="F26" s="28">
        <f t="shared" si="2"/>
        <v>0</v>
      </c>
      <c r="G26" s="29"/>
      <c r="H26" s="30"/>
      <c r="I26" s="31">
        <f t="shared" si="3"/>
        <v>0</v>
      </c>
      <c r="J26" s="32" t="str">
        <f t="shared" si="4"/>
        <v>#DIV/0!</v>
      </c>
      <c r="K26" s="33">
        <v>0.4</v>
      </c>
      <c r="L26" s="34" t="str">
        <f t="shared" si="5"/>
        <v>#DIV/0!</v>
      </c>
      <c r="M26" s="87"/>
      <c r="N26" s="36" t="str">
        <f t="shared" si="6"/>
        <v>#DIV/0!</v>
      </c>
      <c r="O26" s="51"/>
      <c r="P26" s="51"/>
      <c r="Q26" s="5"/>
      <c r="R26" s="31">
        <f t="shared" si="7"/>
        <v>0</v>
      </c>
      <c r="S26" s="44"/>
      <c r="T26" s="10"/>
      <c r="U26" s="45"/>
      <c r="V26" s="10"/>
      <c r="W26" s="10"/>
      <c r="X26" s="10"/>
      <c r="Y26" s="10"/>
      <c r="Z26" s="10"/>
    </row>
    <row r="27" ht="18.75" customHeight="1">
      <c r="A27" s="29">
        <v>24.0</v>
      </c>
      <c r="B27" s="25"/>
      <c r="C27" s="26"/>
      <c r="D27" s="26"/>
      <c r="E27" s="26"/>
      <c r="F27" s="28">
        <f t="shared" si="2"/>
        <v>0</v>
      </c>
      <c r="G27" s="29"/>
      <c r="H27" s="30"/>
      <c r="I27" s="31">
        <f t="shared" si="3"/>
        <v>0</v>
      </c>
      <c r="J27" s="32" t="str">
        <f t="shared" si="4"/>
        <v>#DIV/0!</v>
      </c>
      <c r="K27" s="33">
        <v>0.4</v>
      </c>
      <c r="L27" s="34" t="str">
        <f t="shared" si="5"/>
        <v>#DIV/0!</v>
      </c>
      <c r="M27" s="87"/>
      <c r="N27" s="36" t="str">
        <f t="shared" si="6"/>
        <v>#DIV/0!</v>
      </c>
      <c r="O27" s="51"/>
      <c r="P27" s="51"/>
      <c r="Q27" s="5"/>
      <c r="R27" s="31">
        <f t="shared" si="7"/>
        <v>0</v>
      </c>
      <c r="S27" s="44"/>
      <c r="T27" s="10"/>
      <c r="U27" s="45"/>
      <c r="V27" s="10"/>
      <c r="W27" s="10"/>
      <c r="X27" s="10"/>
      <c r="Y27" s="10"/>
      <c r="Z27" s="10"/>
    </row>
    <row r="28" ht="18.75" customHeight="1">
      <c r="A28" s="29">
        <v>25.0</v>
      </c>
      <c r="B28" s="25"/>
      <c r="C28" s="26"/>
      <c r="D28" s="25"/>
      <c r="E28" s="25"/>
      <c r="F28" s="28">
        <f t="shared" si="2"/>
        <v>0</v>
      </c>
      <c r="G28" s="29"/>
      <c r="H28" s="30"/>
      <c r="I28" s="31">
        <f t="shared" si="3"/>
        <v>0</v>
      </c>
      <c r="J28" s="32" t="str">
        <f t="shared" si="4"/>
        <v>#DIV/0!</v>
      </c>
      <c r="K28" s="33">
        <v>0.4</v>
      </c>
      <c r="L28" s="34" t="str">
        <f t="shared" si="5"/>
        <v>#DIV/0!</v>
      </c>
      <c r="M28" s="87"/>
      <c r="N28" s="36" t="str">
        <f t="shared" si="6"/>
        <v>#DIV/0!</v>
      </c>
      <c r="O28" s="56" t="s">
        <v>73</v>
      </c>
      <c r="P28" s="22"/>
      <c r="Q28" s="23"/>
      <c r="R28" s="57">
        <f>SUM(Q5:Q27)</f>
        <v>4664000</v>
      </c>
      <c r="S28" s="44"/>
      <c r="T28" s="10"/>
      <c r="U28" s="45"/>
      <c r="V28" s="10"/>
      <c r="W28" s="10"/>
      <c r="X28" s="10"/>
      <c r="Y28" s="10"/>
      <c r="Z28" s="10"/>
    </row>
    <row r="29" ht="18.75" customHeight="1">
      <c r="A29" s="29">
        <v>26.0</v>
      </c>
      <c r="B29" s="25"/>
      <c r="C29" s="26"/>
      <c r="D29" s="26"/>
      <c r="E29" s="26"/>
      <c r="F29" s="28">
        <f t="shared" si="2"/>
        <v>0</v>
      </c>
      <c r="G29" s="29"/>
      <c r="H29" s="30"/>
      <c r="I29" s="31">
        <f t="shared" si="3"/>
        <v>0</v>
      </c>
      <c r="J29" s="32" t="str">
        <f t="shared" si="4"/>
        <v>#DIV/0!</v>
      </c>
      <c r="K29" s="33">
        <v>0.4</v>
      </c>
      <c r="L29" s="34" t="str">
        <f t="shared" si="5"/>
        <v>#DIV/0!</v>
      </c>
      <c r="M29" s="87"/>
      <c r="N29" s="36" t="str">
        <f t="shared" si="6"/>
        <v>#DIV/0!</v>
      </c>
      <c r="O29" s="56" t="s">
        <v>75</v>
      </c>
      <c r="P29" s="22"/>
      <c r="Q29" s="23"/>
      <c r="R29" s="59"/>
      <c r="S29" s="44"/>
      <c r="T29" s="10"/>
      <c r="U29" s="45"/>
      <c r="V29" s="10"/>
      <c r="W29" s="10"/>
      <c r="X29" s="10"/>
      <c r="Y29" s="10"/>
      <c r="Z29" s="10"/>
    </row>
    <row r="30" ht="18.75" customHeight="1">
      <c r="A30" s="29">
        <v>27.0</v>
      </c>
      <c r="B30" s="25"/>
      <c r="C30" s="26"/>
      <c r="D30" s="26"/>
      <c r="E30" s="26"/>
      <c r="F30" s="28">
        <f t="shared" si="2"/>
        <v>0</v>
      </c>
      <c r="G30" s="29"/>
      <c r="H30" s="30"/>
      <c r="I30" s="31">
        <f t="shared" si="3"/>
        <v>0</v>
      </c>
      <c r="J30" s="32" t="str">
        <f t="shared" si="4"/>
        <v>#DIV/0!</v>
      </c>
      <c r="K30" s="33">
        <v>0.4</v>
      </c>
      <c r="L30" s="34" t="str">
        <f t="shared" si="5"/>
        <v>#DIV/0!</v>
      </c>
      <c r="M30" s="35"/>
      <c r="N30" s="36" t="str">
        <f t="shared" si="6"/>
        <v>#DIV/0!</v>
      </c>
      <c r="O30" s="56" t="s">
        <v>77</v>
      </c>
      <c r="P30" s="22"/>
      <c r="Q30" s="23"/>
      <c r="R30" s="59">
        <f>R29+R28</f>
        <v>4664000</v>
      </c>
      <c r="S30" s="44"/>
      <c r="T30" s="10"/>
      <c r="U30" s="45"/>
      <c r="V30" s="10"/>
      <c r="W30" s="10"/>
      <c r="X30" s="10"/>
      <c r="Y30" s="10"/>
      <c r="Z30" s="10"/>
    </row>
    <row r="31" ht="18.75" customHeight="1">
      <c r="A31" s="29">
        <v>28.0</v>
      </c>
      <c r="B31" s="46"/>
      <c r="C31" s="27"/>
      <c r="D31" s="27"/>
      <c r="E31" s="27"/>
      <c r="F31" s="28">
        <f t="shared" si="2"/>
        <v>0</v>
      </c>
      <c r="G31" s="29"/>
      <c r="H31" s="30"/>
      <c r="I31" s="31">
        <f t="shared" si="3"/>
        <v>0</v>
      </c>
      <c r="J31" s="32" t="str">
        <f t="shared" si="4"/>
        <v>#DIV/0!</v>
      </c>
      <c r="K31" s="33">
        <v>0.4</v>
      </c>
      <c r="L31" s="34" t="str">
        <f t="shared" si="5"/>
        <v>#DIV/0!</v>
      </c>
      <c r="M31" s="29"/>
      <c r="N31" s="36" t="str">
        <f t="shared" si="6"/>
        <v>#DIV/0!</v>
      </c>
      <c r="O31" s="60" t="s">
        <v>157</v>
      </c>
      <c r="P31" s="2"/>
      <c r="Q31" s="3"/>
      <c r="R31" s="61">
        <v>900000.0</v>
      </c>
      <c r="S31" s="44"/>
      <c r="T31" s="38"/>
      <c r="U31" s="38"/>
      <c r="X31" s="38"/>
      <c r="Y31" s="10"/>
      <c r="Z31" s="10"/>
    </row>
    <row r="32" ht="18.75" customHeight="1">
      <c r="A32" s="29">
        <v>29.0</v>
      </c>
      <c r="B32" s="46"/>
      <c r="C32" s="27"/>
      <c r="D32" s="46"/>
      <c r="E32" s="46"/>
      <c r="F32" s="28">
        <f t="shared" si="2"/>
        <v>0</v>
      </c>
      <c r="G32" s="29"/>
      <c r="H32" s="30"/>
      <c r="I32" s="31">
        <f t="shared" si="3"/>
        <v>0</v>
      </c>
      <c r="J32" s="32" t="str">
        <f t="shared" si="4"/>
        <v>#DIV/0!</v>
      </c>
      <c r="K32" s="33">
        <v>0.4</v>
      </c>
      <c r="L32" s="34" t="str">
        <f t="shared" si="5"/>
        <v>#DIV/0!</v>
      </c>
      <c r="M32" s="81"/>
      <c r="N32" s="36" t="str">
        <f t="shared" si="6"/>
        <v>#DIV/0!</v>
      </c>
      <c r="O32" s="62"/>
      <c r="P32" s="63"/>
      <c r="Q32" s="64"/>
      <c r="R32" s="65"/>
      <c r="S32" s="44"/>
      <c r="T32" s="38"/>
      <c r="U32" s="38"/>
      <c r="X32" s="38"/>
      <c r="Y32" s="10"/>
      <c r="Z32" s="10"/>
    </row>
    <row r="33" ht="18.75" customHeight="1">
      <c r="A33" s="29">
        <v>30.0</v>
      </c>
      <c r="B33" s="46"/>
      <c r="C33" s="27"/>
      <c r="D33" s="27"/>
      <c r="E33" s="27"/>
      <c r="F33" s="28">
        <f t="shared" si="2"/>
        <v>0</v>
      </c>
      <c r="G33" s="29"/>
      <c r="H33" s="30"/>
      <c r="I33" s="31">
        <f t="shared" si="3"/>
        <v>0</v>
      </c>
      <c r="J33" s="32" t="str">
        <f t="shared" si="4"/>
        <v>#DIV/0!</v>
      </c>
      <c r="K33" s="33">
        <v>0.4</v>
      </c>
      <c r="L33" s="34" t="str">
        <f t="shared" si="5"/>
        <v>#DIV/0!</v>
      </c>
      <c r="M33" s="81"/>
      <c r="N33" s="36" t="str">
        <f t="shared" si="6"/>
        <v>#DIV/0!</v>
      </c>
      <c r="O33" s="60" t="s">
        <v>158</v>
      </c>
      <c r="P33" s="2"/>
      <c r="Q33" s="3"/>
      <c r="R33" s="66">
        <f>SUMIF(N4:N45,"&gt;0",N4:N45)</f>
        <v>1459200</v>
      </c>
      <c r="S33" s="44"/>
      <c r="T33" s="38"/>
      <c r="U33" s="38"/>
      <c r="X33" s="38"/>
      <c r="Y33" s="10"/>
      <c r="Z33" s="10"/>
    </row>
    <row r="34" ht="18.75" customHeight="1">
      <c r="A34" s="29">
        <v>31.0</v>
      </c>
      <c r="B34" s="46"/>
      <c r="C34" s="27"/>
      <c r="D34" s="27"/>
      <c r="E34" s="27"/>
      <c r="F34" s="28">
        <f t="shared" si="2"/>
        <v>0</v>
      </c>
      <c r="G34" s="29"/>
      <c r="H34" s="30"/>
      <c r="I34" s="31">
        <f t="shared" si="3"/>
        <v>0</v>
      </c>
      <c r="J34" s="32" t="str">
        <f t="shared" si="4"/>
        <v>#DIV/0!</v>
      </c>
      <c r="K34" s="33">
        <v>0.4</v>
      </c>
      <c r="L34" s="34" t="str">
        <f t="shared" si="5"/>
        <v>#DIV/0!</v>
      </c>
      <c r="M34" s="81"/>
      <c r="N34" s="36" t="str">
        <f t="shared" si="6"/>
        <v>#DIV/0!</v>
      </c>
      <c r="O34" s="62"/>
      <c r="P34" s="63"/>
      <c r="Q34" s="64"/>
      <c r="R34" s="65"/>
      <c r="S34" s="44"/>
      <c r="T34" s="38"/>
      <c r="U34" s="38"/>
      <c r="X34" s="38"/>
    </row>
    <row r="35" ht="18.75" customHeight="1">
      <c r="A35" s="29">
        <v>32.0</v>
      </c>
      <c r="B35" s="46"/>
      <c r="C35" s="27"/>
      <c r="D35" s="46"/>
      <c r="E35" s="46"/>
      <c r="F35" s="28">
        <f t="shared" si="2"/>
        <v>0</v>
      </c>
      <c r="G35" s="29"/>
      <c r="H35" s="53"/>
      <c r="I35" s="31">
        <f t="shared" si="3"/>
        <v>0</v>
      </c>
      <c r="J35" s="32" t="str">
        <f t="shared" si="4"/>
        <v>#DIV/0!</v>
      </c>
      <c r="K35" s="33">
        <v>0.4</v>
      </c>
      <c r="L35" s="34" t="str">
        <f t="shared" si="5"/>
        <v>#DIV/0!</v>
      </c>
      <c r="M35" s="81"/>
      <c r="N35" s="36" t="str">
        <f t="shared" si="6"/>
        <v>#DIV/0!</v>
      </c>
      <c r="O35" s="60" t="s">
        <v>80</v>
      </c>
      <c r="P35" s="2"/>
      <c r="Q35" s="3"/>
      <c r="R35" s="66">
        <f>R31+R33</f>
        <v>2359200</v>
      </c>
      <c r="S35" s="10"/>
      <c r="T35" s="10"/>
      <c r="U35" s="10"/>
      <c r="V35" s="10"/>
      <c r="W35" s="10"/>
      <c r="Y35" s="10"/>
      <c r="Z35" s="10"/>
    </row>
    <row r="36" ht="18.75" customHeight="1">
      <c r="A36" s="29">
        <v>33.0</v>
      </c>
      <c r="B36" s="46"/>
      <c r="C36" s="27"/>
      <c r="D36" s="27"/>
      <c r="E36" s="27"/>
      <c r="F36" s="28">
        <f t="shared" si="2"/>
        <v>0</v>
      </c>
      <c r="G36" s="29"/>
      <c r="H36" s="30"/>
      <c r="I36" s="31">
        <f t="shared" si="3"/>
        <v>0</v>
      </c>
      <c r="J36" s="32" t="str">
        <f t="shared" si="4"/>
        <v>#DIV/0!</v>
      </c>
      <c r="K36" s="33">
        <v>0.4</v>
      </c>
      <c r="L36" s="34" t="str">
        <f t="shared" si="5"/>
        <v>#DIV/0!</v>
      </c>
      <c r="M36" s="81"/>
      <c r="N36" s="36" t="str">
        <f t="shared" si="6"/>
        <v>#DIV/0!</v>
      </c>
      <c r="O36" s="62"/>
      <c r="P36" s="63"/>
      <c r="Q36" s="64"/>
      <c r="R36" s="65"/>
      <c r="S36" s="10"/>
      <c r="T36" s="10"/>
      <c r="U36" s="10"/>
      <c r="V36" s="10"/>
      <c r="W36" s="10"/>
    </row>
    <row r="37" ht="18.75" customHeight="1">
      <c r="A37" s="29">
        <v>34.0</v>
      </c>
      <c r="B37" s="46"/>
      <c r="C37" s="27"/>
      <c r="D37" s="46"/>
      <c r="E37" s="46"/>
      <c r="F37" s="28">
        <f t="shared" si="2"/>
        <v>0</v>
      </c>
      <c r="G37" s="29"/>
      <c r="H37" s="53"/>
      <c r="I37" s="31">
        <f t="shared" si="3"/>
        <v>0</v>
      </c>
      <c r="J37" s="32" t="str">
        <f t="shared" si="4"/>
        <v>#DIV/0!</v>
      </c>
      <c r="K37" s="33">
        <v>0.4</v>
      </c>
      <c r="L37" s="34" t="str">
        <f t="shared" si="5"/>
        <v>#DIV/0!</v>
      </c>
      <c r="M37" s="81"/>
      <c r="N37" s="36" t="str">
        <f t="shared" si="6"/>
        <v>#DIV/0!</v>
      </c>
      <c r="O37" s="71" t="s">
        <v>124</v>
      </c>
      <c r="P37" s="22"/>
      <c r="Q37" s="22"/>
      <c r="R37" s="23"/>
      <c r="T37" s="10"/>
      <c r="U37" s="10"/>
      <c r="V37" s="10"/>
      <c r="W37" s="10"/>
    </row>
    <row r="38" ht="18.75" customHeight="1">
      <c r="A38" s="29">
        <v>35.0</v>
      </c>
      <c r="B38" s="46"/>
      <c r="C38" s="27"/>
      <c r="D38" s="27"/>
      <c r="E38" s="27"/>
      <c r="F38" s="28">
        <f t="shared" si="2"/>
        <v>0</v>
      </c>
      <c r="G38" s="29"/>
      <c r="H38" s="53"/>
      <c r="I38" s="31">
        <f t="shared" si="3"/>
        <v>0</v>
      </c>
      <c r="J38" s="32" t="str">
        <f t="shared" si="4"/>
        <v>#DIV/0!</v>
      </c>
      <c r="K38" s="33">
        <v>0.4</v>
      </c>
      <c r="L38" s="34" t="str">
        <f t="shared" si="5"/>
        <v>#DIV/0!</v>
      </c>
      <c r="M38" s="81"/>
      <c r="N38" s="36" t="str">
        <f t="shared" si="6"/>
        <v>#DIV/0!</v>
      </c>
      <c r="O38" s="71" t="s">
        <v>125</v>
      </c>
      <c r="P38" s="22"/>
      <c r="Q38" s="22"/>
      <c r="R38" s="23"/>
      <c r="T38" s="10"/>
      <c r="U38" s="10"/>
      <c r="V38" s="10"/>
      <c r="W38" s="10"/>
    </row>
    <row r="39" ht="18.75" customHeight="1">
      <c r="A39" s="29">
        <v>36.0</v>
      </c>
      <c r="B39" s="46"/>
      <c r="C39" s="27"/>
      <c r="D39" s="27"/>
      <c r="E39" s="27"/>
      <c r="F39" s="28">
        <f t="shared" si="2"/>
        <v>0</v>
      </c>
      <c r="G39" s="29"/>
      <c r="H39" s="55"/>
      <c r="I39" s="31">
        <f t="shared" si="3"/>
        <v>0</v>
      </c>
      <c r="J39" s="32" t="str">
        <f t="shared" si="4"/>
        <v>#DIV/0!</v>
      </c>
      <c r="K39" s="33">
        <v>0.4</v>
      </c>
      <c r="L39" s="34" t="str">
        <f t="shared" si="5"/>
        <v>#DIV/0!</v>
      </c>
      <c r="M39" s="81"/>
      <c r="N39" s="36" t="str">
        <f t="shared" si="6"/>
        <v>#DIV/0!</v>
      </c>
      <c r="O39" s="71" t="s">
        <v>126</v>
      </c>
      <c r="P39" s="22"/>
      <c r="Q39" s="22"/>
      <c r="R39" s="23"/>
      <c r="T39" s="10"/>
      <c r="U39" s="10"/>
      <c r="V39" s="10"/>
      <c r="W39" s="10"/>
    </row>
    <row r="40" ht="18.75" customHeight="1">
      <c r="A40" s="29">
        <v>37.0</v>
      </c>
      <c r="B40" s="46"/>
      <c r="C40" s="27"/>
      <c r="D40" s="27"/>
      <c r="E40" s="27"/>
      <c r="F40" s="28">
        <f t="shared" si="2"/>
        <v>0</v>
      </c>
      <c r="G40" s="29"/>
      <c r="H40" s="55"/>
      <c r="I40" s="31">
        <f t="shared" si="3"/>
        <v>0</v>
      </c>
      <c r="J40" s="32" t="str">
        <f t="shared" si="4"/>
        <v>#DIV/0!</v>
      </c>
      <c r="K40" s="33">
        <v>0.4</v>
      </c>
      <c r="L40" s="34" t="str">
        <f t="shared" si="5"/>
        <v>#DIV/0!</v>
      </c>
      <c r="M40" s="81"/>
      <c r="N40" s="36" t="str">
        <f t="shared" si="6"/>
        <v>#DIV/0!</v>
      </c>
      <c r="O40" s="71" t="s">
        <v>127</v>
      </c>
      <c r="P40" s="22"/>
      <c r="Q40" s="22"/>
      <c r="R40" s="23"/>
      <c r="T40" s="10"/>
      <c r="U40" s="10"/>
      <c r="V40" s="10"/>
      <c r="W40" s="10"/>
    </row>
    <row r="41" ht="18.75" customHeight="1">
      <c r="A41" s="29">
        <v>38.0</v>
      </c>
      <c r="B41" s="46"/>
      <c r="C41" s="27"/>
      <c r="D41" s="27"/>
      <c r="E41" s="27"/>
      <c r="F41" s="28">
        <f t="shared" si="2"/>
        <v>0</v>
      </c>
      <c r="G41" s="29"/>
      <c r="H41" s="55"/>
      <c r="I41" s="31">
        <f t="shared" si="3"/>
        <v>0</v>
      </c>
      <c r="J41" s="32" t="str">
        <f t="shared" si="4"/>
        <v>#DIV/0!</v>
      </c>
      <c r="K41" s="33">
        <v>0.4</v>
      </c>
      <c r="L41" s="34" t="str">
        <f t="shared" si="5"/>
        <v>#DIV/0!</v>
      </c>
      <c r="M41" s="81"/>
      <c r="N41" s="36" t="str">
        <f t="shared" si="6"/>
        <v>#DIV/0!</v>
      </c>
      <c r="O41" s="71" t="s">
        <v>129</v>
      </c>
      <c r="P41" s="22"/>
      <c r="Q41" s="22"/>
      <c r="R41" s="23"/>
      <c r="T41" s="10"/>
      <c r="U41" s="10"/>
      <c r="V41" s="10"/>
      <c r="W41" s="10"/>
    </row>
    <row r="42" ht="18.75" customHeight="1">
      <c r="A42" s="29">
        <v>39.0</v>
      </c>
      <c r="B42" s="46"/>
      <c r="C42" s="27"/>
      <c r="D42" s="27"/>
      <c r="E42" s="27"/>
      <c r="F42" s="28">
        <f t="shared" si="2"/>
        <v>0</v>
      </c>
      <c r="G42" s="29"/>
      <c r="H42" s="55"/>
      <c r="I42" s="31">
        <f t="shared" si="3"/>
        <v>0</v>
      </c>
      <c r="J42" s="32" t="str">
        <f t="shared" si="4"/>
        <v>#DIV/0!</v>
      </c>
      <c r="K42" s="33">
        <v>0.4</v>
      </c>
      <c r="L42" s="34" t="str">
        <f t="shared" si="5"/>
        <v>#DIV/0!</v>
      </c>
      <c r="M42" s="81"/>
      <c r="N42" s="36" t="str">
        <f t="shared" si="6"/>
        <v>#DIV/0!</v>
      </c>
      <c r="O42" s="71" t="s">
        <v>130</v>
      </c>
      <c r="P42" s="22"/>
      <c r="Q42" s="22"/>
      <c r="R42" s="23"/>
      <c r="T42" s="10"/>
      <c r="U42" s="10"/>
      <c r="V42" s="10"/>
      <c r="W42" s="10"/>
    </row>
    <row r="43" ht="18.75" customHeight="1">
      <c r="A43" s="29">
        <v>40.0</v>
      </c>
      <c r="B43" s="46"/>
      <c r="C43" s="27"/>
      <c r="D43" s="27"/>
      <c r="E43" s="27"/>
      <c r="F43" s="28">
        <f t="shared" si="2"/>
        <v>0</v>
      </c>
      <c r="G43" s="29"/>
      <c r="H43" s="55"/>
      <c r="I43" s="31">
        <f t="shared" si="3"/>
        <v>0</v>
      </c>
      <c r="J43" s="32" t="str">
        <f t="shared" si="4"/>
        <v>#DIV/0!</v>
      </c>
      <c r="K43" s="33">
        <v>0.4</v>
      </c>
      <c r="L43" s="34" t="str">
        <f t="shared" si="5"/>
        <v>#DIV/0!</v>
      </c>
      <c r="M43" s="81"/>
      <c r="N43" s="36" t="str">
        <f t="shared" si="6"/>
        <v>#DIV/0!</v>
      </c>
      <c r="O43" s="71" t="s">
        <v>131</v>
      </c>
      <c r="P43" s="22"/>
      <c r="Q43" s="22"/>
      <c r="R43" s="23"/>
      <c r="T43" s="10"/>
      <c r="U43" s="10"/>
      <c r="V43" s="10"/>
      <c r="W43" s="10"/>
    </row>
    <row r="44" ht="18.75" customHeight="1">
      <c r="A44" s="29">
        <v>41.0</v>
      </c>
      <c r="B44" s="46"/>
      <c r="C44" s="27"/>
      <c r="D44" s="27"/>
      <c r="E44" s="27"/>
      <c r="F44" s="28">
        <f t="shared" si="2"/>
        <v>0</v>
      </c>
      <c r="G44" s="29"/>
      <c r="H44" s="55"/>
      <c r="I44" s="31">
        <f t="shared" si="3"/>
        <v>0</v>
      </c>
      <c r="J44" s="32" t="str">
        <f t="shared" si="4"/>
        <v>#DIV/0!</v>
      </c>
      <c r="K44" s="33">
        <v>0.4</v>
      </c>
      <c r="L44" s="34" t="str">
        <f t="shared" si="5"/>
        <v>#DIV/0!</v>
      </c>
      <c r="M44" s="81"/>
      <c r="N44" s="36" t="str">
        <f t="shared" si="6"/>
        <v>#DIV/0!</v>
      </c>
      <c r="O44" s="71" t="s">
        <v>132</v>
      </c>
      <c r="P44" s="22"/>
      <c r="Q44" s="22"/>
      <c r="R44" s="23"/>
      <c r="T44" s="10"/>
      <c r="U44" s="10"/>
      <c r="V44" s="10"/>
      <c r="W44" s="10"/>
      <c r="X44" s="10"/>
      <c r="Y44" s="10"/>
      <c r="Z44" s="10"/>
    </row>
    <row r="45" ht="18.75" customHeight="1">
      <c r="A45" s="29">
        <v>42.0</v>
      </c>
      <c r="B45" s="46"/>
      <c r="C45" s="27"/>
      <c r="D45" s="27"/>
      <c r="E45" s="27"/>
      <c r="F45" s="28">
        <f t="shared" si="2"/>
        <v>0</v>
      </c>
      <c r="G45" s="29"/>
      <c r="H45" s="55"/>
      <c r="I45" s="31">
        <f t="shared" si="3"/>
        <v>0</v>
      </c>
      <c r="J45" s="32" t="str">
        <f t="shared" si="4"/>
        <v>#DIV/0!</v>
      </c>
      <c r="K45" s="33">
        <v>0.4</v>
      </c>
      <c r="L45" s="34" t="str">
        <f t="shared" si="5"/>
        <v>#DIV/0!</v>
      </c>
      <c r="M45" s="81"/>
      <c r="N45" s="36" t="str">
        <f t="shared" si="6"/>
        <v>#DIV/0!</v>
      </c>
      <c r="O45" s="71" t="s">
        <v>133</v>
      </c>
      <c r="P45" s="22"/>
      <c r="Q45" s="22"/>
      <c r="R45" s="23"/>
      <c r="T45" s="10"/>
      <c r="U45" s="10"/>
      <c r="V45" s="10"/>
      <c r="W45" s="10"/>
      <c r="X45" s="10"/>
      <c r="Y45" s="10"/>
      <c r="Z45" s="10"/>
    </row>
    <row r="46" ht="16.5" customHeight="1">
      <c r="A46" s="7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6.5" customHeight="1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6.5" customHeight="1">
      <c r="A48" s="70"/>
      <c r="B48" s="70"/>
      <c r="C48" s="70"/>
      <c r="D48" s="70"/>
      <c r="E48" s="70"/>
      <c r="G48" s="70"/>
      <c r="H48" s="70"/>
      <c r="I48" s="70"/>
      <c r="J48" s="70"/>
      <c r="K48" s="70"/>
      <c r="L48" s="70"/>
      <c r="M48" s="70"/>
      <c r="N48" s="7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6.5" customHeight="1">
      <c r="B49" s="70"/>
      <c r="C49" s="70"/>
      <c r="D49" s="70"/>
      <c r="E49" s="70"/>
      <c r="G49" s="70"/>
      <c r="H49" s="70"/>
      <c r="I49" s="70"/>
      <c r="J49" s="70"/>
      <c r="K49" s="70"/>
      <c r="L49" s="70"/>
      <c r="M49" s="70"/>
      <c r="N49" s="7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6.5" customHeight="1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6.5" customHeight="1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6.5" customHeight="1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6.5" customHeight="1">
      <c r="A53" s="70"/>
      <c r="B53" s="70"/>
      <c r="C53" s="70"/>
      <c r="E53" s="70"/>
      <c r="G53" s="70"/>
      <c r="H53" s="70"/>
      <c r="I53" s="70"/>
      <c r="J53" s="70"/>
      <c r="K53" s="70"/>
      <c r="L53" s="70"/>
      <c r="M53" s="70"/>
      <c r="N53" s="7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6.5" customHeight="1">
      <c r="C54" s="70"/>
      <c r="D54" s="70"/>
      <c r="G54" s="70"/>
      <c r="H54" s="70"/>
      <c r="I54" s="70"/>
      <c r="J54" s="70"/>
      <c r="K54" s="70"/>
      <c r="L54" s="70"/>
      <c r="M54" s="70"/>
      <c r="N54" s="7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6.5" customHeight="1">
      <c r="B55" s="70"/>
      <c r="C55" s="70"/>
      <c r="D55" s="70"/>
      <c r="E55" s="70"/>
      <c r="G55" s="70"/>
      <c r="H55" s="70"/>
      <c r="I55" s="70"/>
      <c r="J55" s="70"/>
      <c r="K55" s="70"/>
      <c r="L55" s="70"/>
      <c r="M55" s="70"/>
      <c r="N55" s="7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6.5" customHeight="1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6.5" customHeight="1">
      <c r="A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6.5" customHeight="1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6.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6.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6.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6.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6.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6.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6.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6.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6.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6.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6.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6.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6.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6.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6.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6.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6.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6.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6.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6.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6.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6.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6.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6.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6.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6.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6.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6.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6.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6.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6.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6.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6.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6.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6.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6.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6.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6.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6.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6.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6.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6.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6.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6.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6.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6.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6.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6.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6.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6.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6.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6.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6.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6.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6.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6.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6.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6.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6.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6.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6.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6.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6.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6.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6.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6.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6.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6.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6.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6.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6.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6.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6.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6.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6.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6.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6.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6.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6.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6.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6.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6.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6.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6.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6.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6.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6.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6.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6.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6.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6.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6.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6.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6.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6.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6.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6.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6.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6.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6.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6.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6.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6.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6.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6.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6.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6.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6.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6.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6.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6.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6.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6.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6.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6.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6.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6.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6.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6.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6.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6.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6.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6.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6.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6.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6.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6.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6.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6.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6.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6.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6.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6.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6.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6.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6.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6.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6.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6.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6.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6.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6.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6.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6.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6.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6.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6.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6.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6.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6.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6.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6.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6.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6.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6.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6.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6.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6.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6.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6.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6.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6.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6.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6.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6.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6.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6.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6.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6.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6.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6.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6.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6.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6.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6.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6.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6.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6.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6.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6.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6.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6.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6.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6.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6.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6.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6.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6.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6.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6.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6.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6.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6.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6.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6.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6.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6.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6.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6.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6.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6.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6.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6.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6.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6.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6.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6.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6.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6.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6.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6.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6.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6.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6.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6.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6.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6.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6.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6.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6.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6.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6.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6.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6.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6.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6.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6.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6.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6.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6.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6.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6.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6.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6.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6.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6.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6.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6.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6.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6.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6.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6.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6.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6.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6.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6.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6.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6.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6.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6.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6.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6.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6.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6.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6.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6.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6.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6.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6.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6.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6.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6.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6.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6.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6.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6.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6.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6.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6.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6.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6.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6.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6.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6.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6.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6.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6.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6.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6.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6.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6.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6.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6.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6.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6.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6.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6.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6.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6.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6.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6.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6.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6.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6.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6.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6.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6.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6.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6.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6.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6.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6.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6.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6.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6.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6.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6.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6.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6.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6.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6.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6.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6.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6.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6.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6.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6.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6.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6.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6.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6.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6.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6.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6.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6.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6.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6.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6.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6.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6.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6.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6.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6.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6.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6.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6.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6.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6.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6.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6.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6.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6.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6.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6.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6.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6.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6.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6.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6.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6.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6.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6.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6.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6.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6.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6.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6.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6.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6.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6.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6.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6.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6.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6.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6.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6.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6.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6.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6.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6.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6.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6.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6.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6.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6.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6.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6.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6.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6.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6.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6.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6.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6.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6.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6.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6.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6.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6.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6.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6.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6.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6.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6.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6.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6.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6.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6.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6.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6.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6.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6.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6.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6.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6.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6.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6.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6.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6.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6.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6.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6.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6.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6.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6.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6.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6.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6.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6.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6.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6.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6.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6.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6.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6.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6.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6.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6.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6.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6.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6.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6.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6.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6.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6.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6.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6.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6.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6.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6.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6.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6.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6.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6.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6.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6.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6.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6.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6.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6.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6.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6.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6.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6.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6.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6.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6.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6.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6.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6.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6.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6.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6.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6.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6.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6.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6.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6.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6.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6.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6.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6.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6.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6.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6.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6.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6.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6.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6.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6.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6.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6.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6.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6.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6.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6.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6.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6.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6.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6.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6.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6.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6.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6.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6.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6.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6.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6.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6.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6.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6.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6.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6.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6.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6.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6.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6.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6.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6.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6.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6.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6.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6.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6.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6.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6.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6.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6.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6.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6.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6.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6.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6.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6.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6.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6.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6.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6.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6.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6.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6.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6.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6.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6.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6.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6.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6.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6.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6.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6.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6.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6.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6.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6.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6.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6.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6.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6.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6.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6.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6.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6.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6.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6.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6.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6.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6.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6.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6.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6.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6.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6.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6.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6.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6.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6.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6.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6.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6.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6.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6.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6.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6.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6.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6.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6.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6.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6.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6.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6.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6.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6.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6.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6.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6.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6.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6.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6.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6.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6.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6.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6.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6.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6.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6.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6.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6.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6.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6.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6.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6.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6.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6.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6.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6.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6.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6.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6.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6.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6.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6.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6.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6.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6.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6.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6.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6.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6.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6.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6.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6.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6.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6.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6.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6.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6.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6.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6.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6.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6.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6.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6.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6.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6.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6.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6.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6.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6.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6.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6.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6.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6.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6.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6.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6.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6.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6.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6.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6.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6.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6.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6.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6.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6.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6.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6.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6.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6.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6.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6.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6.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6.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6.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6.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6.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6.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6.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6.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6.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6.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6.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6.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6.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6.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6.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6.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6.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6.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6.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6.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6.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6.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6.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6.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6.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6.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6.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6.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6.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6.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6.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6.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6.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6.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6.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6.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6.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6.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6.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6.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6.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6.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6.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6.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6.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6.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6.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6.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6.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6.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6.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6.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6.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6.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6.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6.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6.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6.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6.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6.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6.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6.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6.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6.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6.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6.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6.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6.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6.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6.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6.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6.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6.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6.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6.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6.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6.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6.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6.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6.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6.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6.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6.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6.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6.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6.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6.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6.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6.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6.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6.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6.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6.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6.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6.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6.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6.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6.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6.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6.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6.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6.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6.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6.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6.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6.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6.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6.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6.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6.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6.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6.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6.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6.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6.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6.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6.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6.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6.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6.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6.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6.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6.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6.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6.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6.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6.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6.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6.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6.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6.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6.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6.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6.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6.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6.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6.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6.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6.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6.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6.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6.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6.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6.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6.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6.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6.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6.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6.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6.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6.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6.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6.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6.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6.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6.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6.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6.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6.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6.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6.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6.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6.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6.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6.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6.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6.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6.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6.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6.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6.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6.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6.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6.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6.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6.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6.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6.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6.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6.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6.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6.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6.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6.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6.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6.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6.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6.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6.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6.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6.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6.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6.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6.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6.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6.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6.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6.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6.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6.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6.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6.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6.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6.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6.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6.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6.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6.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6.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6.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6.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6.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6.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6.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6.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6.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6.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6.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6.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6.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6.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6.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6.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6.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6.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6.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6.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6.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6.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6.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6.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6.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6.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6.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6.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6.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6.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6.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6.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6.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6.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6.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6.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6.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6.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6.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6.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6.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6.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6.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6.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6.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6.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6.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6.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6.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6.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6.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6.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6.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6.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6.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6.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6.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6.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6.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6.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6.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6.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6.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6.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6.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6.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6.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6.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6.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6.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6.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6.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6.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6.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6.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6.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34">
    <mergeCell ref="A1:H2"/>
    <mergeCell ref="O3:R3"/>
    <mergeCell ref="O28:Q28"/>
    <mergeCell ref="O29:Q29"/>
    <mergeCell ref="O30:Q30"/>
    <mergeCell ref="O31:Q32"/>
    <mergeCell ref="R31:R32"/>
    <mergeCell ref="U31:W31"/>
    <mergeCell ref="U32:W32"/>
    <mergeCell ref="O33:Q34"/>
    <mergeCell ref="R33:R34"/>
    <mergeCell ref="U33:W33"/>
    <mergeCell ref="U34:W34"/>
    <mergeCell ref="R35:R36"/>
    <mergeCell ref="O35:Q36"/>
    <mergeCell ref="O37:R37"/>
    <mergeCell ref="O38:R38"/>
    <mergeCell ref="O39:R39"/>
    <mergeCell ref="O40:R40"/>
    <mergeCell ref="O41:R41"/>
    <mergeCell ref="O42:R42"/>
    <mergeCell ref="A53:A55"/>
    <mergeCell ref="B53:B54"/>
    <mergeCell ref="C53:D53"/>
    <mergeCell ref="E53:F54"/>
    <mergeCell ref="E55:F55"/>
    <mergeCell ref="A57:B57"/>
    <mergeCell ref="O43:R43"/>
    <mergeCell ref="O44:R44"/>
    <mergeCell ref="O45:R45"/>
    <mergeCell ref="A46:N46"/>
    <mergeCell ref="A48:A49"/>
    <mergeCell ref="E48:F48"/>
    <mergeCell ref="E49:F49"/>
  </mergeCells>
  <printOptions/>
  <pageMargins bottom="0.75" footer="0.0" header="0.0" left="0.6997222304344177" right="0.6997222304344177" top="0.75"/>
  <pageSetup paperSize="9" orientation="landscape"/>
  <drawing r:id="rId1"/>
</worksheet>
</file>