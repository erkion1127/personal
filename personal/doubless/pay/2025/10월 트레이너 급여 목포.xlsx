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준수" sheetId="1" r:id="rId5"/>
    <sheet state="visible" name="한길수" sheetId="2" r:id="rId6"/>
    <sheet state="visible" name="신지훈" sheetId="3" r:id="rId7"/>
    <sheet state="visible" name="김동하" sheetId="4" r:id="rId8"/>
    <sheet state="visible" name="이현수" sheetId="5" r:id="rId9"/>
  </sheets>
  <definedNames/>
  <calcPr/>
</workbook>
</file>

<file path=xl/sharedStrings.xml><?xml version="1.0" encoding="utf-8"?>
<sst xmlns="http://schemas.openxmlformats.org/spreadsheetml/2006/main" count="493" uniqueCount="151">
  <si>
    <t>PAYROLL</t>
  </si>
  <si>
    <t>작성자</t>
  </si>
  <si>
    <t>이준수</t>
  </si>
  <si>
    <t>총 인원</t>
  </si>
  <si>
    <t>남</t>
  </si>
  <si>
    <t>여</t>
  </si>
  <si>
    <t>단가 평균</t>
  </si>
  <si>
    <t>총 수업수</t>
  </si>
  <si>
    <t>잔여세션</t>
  </si>
  <si>
    <t>개인매출</t>
  </si>
  <si>
    <t>개인매출/VAT</t>
  </si>
  <si>
    <t>기준 월</t>
  </si>
  <si>
    <t>9월</t>
  </si>
  <si>
    <t>NO.</t>
  </si>
  <si>
    <t>회원명</t>
  </si>
  <si>
    <t>성별</t>
  </si>
  <si>
    <t>등록세션</t>
  </si>
  <si>
    <t>총 진행
세션</t>
  </si>
  <si>
    <t>남은
세션</t>
  </si>
  <si>
    <t>결제
형태</t>
  </si>
  <si>
    <t>등록비용</t>
  </si>
  <si>
    <t>(공급가)</t>
  </si>
  <si>
    <t>1회단가</t>
  </si>
  <si>
    <t>매출대비%</t>
  </si>
  <si>
    <t>수업료</t>
  </si>
  <si>
    <t>당월
진행세션</t>
  </si>
  <si>
    <t>이달의매출</t>
  </si>
  <si>
    <t>서강영</t>
  </si>
  <si>
    <t>카드</t>
  </si>
  <si>
    <t>신혜경</t>
  </si>
  <si>
    <t>계좌</t>
  </si>
  <si>
    <t>김현숙</t>
  </si>
  <si>
    <t>현금</t>
  </si>
  <si>
    <t>국미선</t>
  </si>
  <si>
    <t>김현정</t>
  </si>
  <si>
    <t>김민정</t>
  </si>
  <si>
    <t>김현</t>
  </si>
  <si>
    <t>이선영</t>
  </si>
  <si>
    <t>김희성</t>
  </si>
  <si>
    <t>이혜란</t>
  </si>
  <si>
    <t>배순림</t>
  </si>
  <si>
    <t>홍주영</t>
  </si>
  <si>
    <t>김윤하</t>
  </si>
  <si>
    <t>박하령</t>
  </si>
  <si>
    <t>김수철</t>
  </si>
  <si>
    <t>양경미</t>
  </si>
  <si>
    <t>송지은</t>
  </si>
  <si>
    <t>최성민</t>
  </si>
  <si>
    <t>진우섭</t>
  </si>
  <si>
    <t>윤수정</t>
  </si>
  <si>
    <t>한세정</t>
  </si>
  <si>
    <t>김태오</t>
  </si>
  <si>
    <t>이미선</t>
  </si>
  <si>
    <t>오본</t>
  </si>
  <si>
    <t>김서형</t>
  </si>
  <si>
    <t>하승현</t>
  </si>
  <si>
    <t>인계 매출</t>
  </si>
  <si>
    <t>박찬묵</t>
  </si>
  <si>
    <t>총 매출</t>
  </si>
  <si>
    <t>박정욱</t>
  </si>
  <si>
    <t xml:space="preserve">기본급+인센티브(12일) </t>
  </si>
  <si>
    <t>김민수</t>
  </si>
  <si>
    <t>수업료(17일)</t>
  </si>
  <si>
    <t>총 급여</t>
  </si>
  <si>
    <t>550만원미만달성 매출급여 110만원 40%</t>
  </si>
  <si>
    <t>550만원달성 매출급여 125만원 45%</t>
  </si>
  <si>
    <t>600만원달성 매출급여 140만원 50%</t>
  </si>
  <si>
    <t>800만원달성 매출급여 155만원 50%</t>
  </si>
  <si>
    <t>1000만원달성 매출급여 180만원 50%</t>
  </si>
  <si>
    <t>1200만원달성 매출급여 200만원 50%</t>
  </si>
  <si>
    <t>1400만원달성 매출급여 220만원 50%</t>
  </si>
  <si>
    <t>1600만원달성 매출급여 240만원 50%</t>
  </si>
  <si>
    <t>1800만원달성 매출급여 260만원 50%</t>
  </si>
  <si>
    <t>한길수</t>
  </si>
  <si>
    <t>10월</t>
  </si>
  <si>
    <t>정욱</t>
  </si>
  <si>
    <t>이름</t>
  </si>
  <si>
    <t>결제형태</t>
  </si>
  <si>
    <t>결제금액</t>
  </si>
  <si>
    <t>공금가액</t>
  </si>
  <si>
    <t>김주홍</t>
  </si>
  <si>
    <t>양다미</t>
  </si>
  <si>
    <t>김영훈</t>
  </si>
  <si>
    <t>이벤트</t>
  </si>
  <si>
    <t>조수안</t>
  </si>
  <si>
    <t>김현서</t>
  </si>
  <si>
    <t>윤지호</t>
  </si>
  <si>
    <t>윤아름</t>
  </si>
  <si>
    <t>김승현</t>
  </si>
  <si>
    <t>조형선</t>
  </si>
  <si>
    <t>손영은</t>
  </si>
  <si>
    <t>김도연</t>
  </si>
  <si>
    <t>이예빈</t>
  </si>
  <si>
    <t>이하나</t>
  </si>
  <si>
    <t>김경민</t>
  </si>
  <si>
    <t>김지선</t>
  </si>
  <si>
    <t>정다운</t>
  </si>
  <si>
    <t>PT개인매출</t>
  </si>
  <si>
    <t>김나연</t>
  </si>
  <si>
    <t>안수정</t>
  </si>
  <si>
    <t>김성환</t>
  </si>
  <si>
    <t>김은선</t>
  </si>
  <si>
    <t>김슬</t>
  </si>
  <si>
    <t>모다정</t>
  </si>
  <si>
    <t>550만원미만달성 매출급여 90만원 40%</t>
  </si>
  <si>
    <t>나윤영</t>
  </si>
  <si>
    <t>600만원달성 매출급여 120만원 50%</t>
  </si>
  <si>
    <t>김해진</t>
  </si>
  <si>
    <t>800만원달성 매출급여 135만원 50%</t>
  </si>
  <si>
    <t>오경원</t>
  </si>
  <si>
    <t>1000만원달성 매출급여 160만원 50%</t>
  </si>
  <si>
    <t>1200만원달성 매출급여 180만원 50%</t>
  </si>
  <si>
    <t>1400만원달성 매출급여 200만원 50%</t>
  </si>
  <si>
    <t>1600만원달성 매출급여 220만원 50%</t>
  </si>
  <si>
    <t>1800만원달성 매출급여 240만원 50%</t>
  </si>
  <si>
    <t>신지훈</t>
  </si>
  <si>
    <t>김서연</t>
  </si>
  <si>
    <t>이체</t>
  </si>
  <si>
    <t>최명호</t>
  </si>
  <si>
    <t>이윤희</t>
  </si>
  <si>
    <t>정평곤</t>
  </si>
  <si>
    <t>이은지</t>
  </si>
  <si>
    <t>조가현</t>
  </si>
  <si>
    <t>이리나</t>
  </si>
  <si>
    <t>이형주</t>
  </si>
  <si>
    <t>이영준</t>
  </si>
  <si>
    <t>조영연</t>
  </si>
  <si>
    <t>유혜나</t>
  </si>
  <si>
    <t>홍보희</t>
  </si>
  <si>
    <t>김나영</t>
  </si>
  <si>
    <t xml:space="preserve">기본급+인센티브(11일) </t>
  </si>
  <si>
    <t>수업료(16일)</t>
  </si>
  <si>
    <t>550만원달성 매출급여 105만원 45%</t>
  </si>
  <si>
    <t>김동하</t>
  </si>
  <si>
    <t>노유정</t>
  </si>
  <si>
    <t>허지은</t>
  </si>
  <si>
    <t>김정호</t>
  </si>
  <si>
    <t>김기호</t>
  </si>
  <si>
    <t>이소연</t>
  </si>
  <si>
    <t>오미화</t>
  </si>
  <si>
    <t>최효순</t>
  </si>
  <si>
    <t>서형민</t>
  </si>
  <si>
    <t>이현수</t>
  </si>
  <si>
    <t>김율리</t>
  </si>
  <si>
    <t>고미정</t>
  </si>
  <si>
    <t>김봄</t>
  </si>
  <si>
    <t>양도</t>
  </si>
  <si>
    <t>강재성</t>
  </si>
  <si>
    <t>김명진</t>
  </si>
  <si>
    <t>차은호</t>
  </si>
  <si>
    <t>김민섭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</si>
</sst>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&quot;명&quot;"/>
    <numFmt numFmtId="165" formatCode="_-* #,##0_-;\-* #,##0_-;_-* &quot;-&quot;_-;_-@"/>
    <numFmt numFmtId="166" formatCode="_-&quot;₩&quot;* #,##0_-;\-&quot;₩&quot;* #,##0_-;_-&quot;₩&quot;* &quot;-&quot;_-;_-@"/>
    <numFmt numFmtId="167" formatCode="0_);[Red]\(0\)"/>
    <numFmt numFmtId="168" formatCode="#,##0_);\(#,##0\)"/>
    <numFmt numFmtId="169" formatCode="&quot;₩&quot;#,##0_);[Red]\(&quot;₩&quot;#,##0\)"/>
    <numFmt numFmtId="170" formatCode="&quot;₩&quot;#,##0;[Red]\-&quot;₩&quot;#,##0"/>
  </numFmts>
  <fonts count="21">
    <font>
      <sz val="11.0"/>
      <color rgb="FF000000"/>
      <name val="Calibri"/>
      <scheme val="minor"/>
    </font>
    <font>
      <b/>
      <sz val="36.0"/>
      <color theme="0"/>
      <name val="Gulim"/>
    </font>
    <font/>
    <font>
      <b/>
      <sz val="12.0"/>
      <color theme="0"/>
      <name val="Gulim"/>
    </font>
    <font>
      <sz val="11.0"/>
      <color rgb="FF000000"/>
      <name val="Malgun Gothic"/>
    </font>
    <font>
      <b/>
      <sz val="12.0"/>
      <color theme="0"/>
      <name val="Dotum"/>
    </font>
    <font>
      <b/>
      <sz val="12.0"/>
      <color theme="0"/>
      <name val="Malgun Gothic"/>
    </font>
    <font>
      <b/>
      <sz val="11.0"/>
      <color rgb="FF000000"/>
      <name val="Gulim"/>
    </font>
    <font>
      <b/>
      <sz val="11.0"/>
      <color rgb="FF000000"/>
      <name val="Dotum"/>
    </font>
    <font>
      <b/>
      <sz val="11.0"/>
      <color rgb="FF000000"/>
      <name val="Malgun Gothic"/>
    </font>
    <font>
      <sz val="11.0"/>
      <color rgb="FF000000"/>
      <name val="Dotum"/>
    </font>
    <font>
      <b/>
      <sz val="12.0"/>
      <color rgb="FF000000"/>
      <name val="Gulim"/>
    </font>
    <font>
      <sz val="11.0"/>
      <color rgb="FF000000"/>
      <name val="Gulim"/>
    </font>
    <font>
      <sz val="11.0"/>
      <color theme="1"/>
      <name val="Malgun Gothic"/>
    </font>
    <font>
      <sz val="11.0"/>
      <color rgb="FFFFFF00"/>
      <name val="Gulim"/>
    </font>
    <font>
      <b/>
      <sz val="12.0"/>
      <color rgb="FF000000"/>
      <name val="Malgun Gothic"/>
    </font>
    <font>
      <sz val="11.0"/>
      <color rgb="FFFFFF00"/>
      <name val="Dotum"/>
    </font>
    <font>
      <sz val="14.0"/>
      <color rgb="FFC00000"/>
      <name val="Malgun Gothic"/>
    </font>
    <font>
      <b/>
      <sz val="20.0"/>
      <color theme="0"/>
      <name val="Gulim"/>
    </font>
    <font>
      <b/>
      <sz val="16.0"/>
      <color rgb="FF000000"/>
      <name val="Malgun Gothic"/>
    </font>
    <font>
      <b/>
      <sz val="12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/>
    </border>
    <border>
      <bottom/>
    </border>
    <border>
      <right style="double">
        <color rgb="FF000000"/>
      </right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8" numFmtId="165" xfId="0" applyAlignment="1" applyBorder="1" applyFont="1" applyNumberFormat="1">
      <alignment vertical="center"/>
    </xf>
    <xf borderId="8" fillId="3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4" fillId="3" fontId="10" numFmtId="166" xfId="0" applyAlignment="1" applyBorder="1" applyFont="1" applyNumberForma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167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4" fillId="5" fontId="13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4" numFmtId="166" xfId="0" applyAlignment="1" applyBorder="1" applyFont="1" applyNumberFormat="1">
      <alignment horizontal="center" vertical="center"/>
    </xf>
    <xf borderId="15" fillId="3" fontId="12" numFmtId="166" xfId="0" applyAlignment="1" applyBorder="1" applyFont="1" applyNumberFormat="1">
      <alignment horizontal="center" vertical="center"/>
    </xf>
    <xf borderId="14" fillId="3" fontId="4" numFmtId="165" xfId="0" applyAlignment="1" applyBorder="1" applyFont="1" applyNumberFormat="1">
      <alignment vertical="center"/>
    </xf>
    <xf borderId="15" fillId="4" fontId="9" numFmtId="10" xfId="0" applyAlignment="1" applyBorder="1" applyFont="1" applyNumberFormat="1">
      <alignment horizontal="center" vertical="center"/>
    </xf>
    <xf borderId="14" fillId="3" fontId="4" numFmtId="166" xfId="0" applyAlignment="1" applyBorder="1" applyFont="1" applyNumberFormat="1">
      <alignment vertical="center"/>
    </xf>
    <xf borderId="16" fillId="5" fontId="4" numFmtId="0" xfId="0" applyAlignment="1" applyBorder="1" applyFont="1">
      <alignment horizontal="center" vertical="center"/>
    </xf>
    <xf borderId="16" fillId="3" fontId="4" numFmtId="166" xfId="0" applyAlignment="1" applyBorder="1" applyFont="1" applyNumberFormat="1">
      <alignment vertical="center"/>
    </xf>
    <xf borderId="4" fillId="0" fontId="13" numFmtId="165" xfId="0" applyAlignment="1" applyBorder="1" applyFont="1" applyNumberFormat="1">
      <alignment horizontal="center" vertical="center"/>
    </xf>
    <xf borderId="4" fillId="0" fontId="13" numFmtId="165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4" fillId="0" fontId="7" numFmtId="165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4" fillId="0" fontId="13" numFmtId="168" xfId="0" applyAlignment="1" applyBorder="1" applyFont="1" applyNumberFormat="1">
      <alignment vertical="center"/>
    </xf>
    <xf borderId="14" fillId="0" fontId="13" numFmtId="0" xfId="0" applyAlignment="1" applyBorder="1" applyFont="1">
      <alignment horizontal="center" vertical="center"/>
    </xf>
    <xf borderId="14" fillId="0" fontId="12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4" fillId="5" fontId="12" numFmtId="166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6" fontId="14" numFmtId="0" xfId="0" applyAlignment="1" applyBorder="1" applyFill="1" applyFont="1">
      <alignment horizontal="center" vertical="center"/>
    </xf>
    <xf borderId="4" fillId="6" fontId="14" numFmtId="166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10" fillId="6" fontId="14" numFmtId="0" xfId="0" applyAlignment="1" applyBorder="1" applyFont="1">
      <alignment horizontal="center" vertical="center"/>
    </xf>
    <xf borderId="4" fillId="6" fontId="16" numFmtId="166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18" fillId="4" fontId="19" numFmtId="166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8" fillId="3" fontId="19" numFmtId="166" xfId="0" applyAlignment="1" applyBorder="1" applyFont="1" applyNumberFormat="1">
      <alignment horizontal="center" vertical="center"/>
    </xf>
    <xf borderId="10" fillId="2" fontId="18" numFmtId="0" xfId="0" applyAlignment="1" applyBorder="1" applyFont="1">
      <alignment horizontal="center" vertical="center"/>
    </xf>
    <xf borderId="4" fillId="3" fontId="19" numFmtId="166" xfId="0" applyAlignment="1" applyBorder="1" applyFont="1" applyNumberFormat="1">
      <alignment horizontal="center" vertical="center"/>
    </xf>
    <xf borderId="4" fillId="2" fontId="18" numFmtId="0" xfId="0" applyAlignment="1" applyBorder="1" applyFont="1">
      <alignment horizontal="center" vertical="center"/>
    </xf>
    <xf borderId="10" fillId="4" fontId="2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5" fillId="5" fontId="13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5" fillId="3" fontId="4" numFmtId="165" xfId="0" applyAlignment="1" applyBorder="1" applyFont="1" applyNumberFormat="1">
      <alignment vertical="center"/>
    </xf>
    <xf borderId="15" fillId="3" fontId="4" numFmtId="166" xfId="0" applyAlignment="1" applyBorder="1" applyFont="1" applyNumberFormat="1">
      <alignment vertical="center"/>
    </xf>
    <xf borderId="23" fillId="5" fontId="4" numFmtId="0" xfId="0" applyAlignment="1" applyBorder="1" applyFont="1">
      <alignment horizontal="center" vertical="center"/>
    </xf>
    <xf borderId="23" fillId="3" fontId="4" numFmtId="166" xfId="0" applyAlignment="1" applyBorder="1" applyFont="1" applyNumberFormat="1">
      <alignment vertical="center"/>
    </xf>
    <xf borderId="4" fillId="3" fontId="12" numFmtId="0" xfId="0" applyAlignment="1" applyBorder="1" applyFont="1">
      <alignment horizontal="center" vertical="center"/>
    </xf>
    <xf borderId="14" fillId="5" fontId="13" numFmtId="0" xfId="0" applyAlignment="1" applyBorder="1" applyFont="1">
      <alignment horizontal="center" shrinkToFit="0" vertical="center" wrapText="1"/>
    </xf>
    <xf borderId="8" fillId="3" fontId="19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vertical="center"/>
    </xf>
    <xf borderId="13" fillId="0" fontId="4" numFmtId="170" xfId="0" applyAlignment="1" applyBorder="1" applyFont="1" applyNumberFormat="1">
      <alignment horizontal="center" vertical="center"/>
    </xf>
    <xf borderId="15" fillId="3" fontId="12" numFmtId="170" xfId="0" applyAlignment="1" applyBorder="1" applyFont="1" applyNumberFormat="1">
      <alignment horizontal="center" vertical="center"/>
    </xf>
    <xf borderId="15" fillId="3" fontId="4" numFmtId="170" xfId="0" applyAlignment="1" applyBorder="1" applyFont="1" applyNumberFormat="1">
      <alignment vertical="center"/>
    </xf>
    <xf borderId="14" fillId="0" fontId="4" numFmtId="0" xfId="0" applyAlignment="1" applyBorder="1" applyFont="1">
      <alignment horizontal="center" readingOrder="0" vertical="center"/>
    </xf>
    <xf borderId="14" fillId="3" fontId="12" numFmtId="0" xfId="0" applyAlignment="1" applyBorder="1" applyFont="1">
      <alignment horizontal="center" readingOrder="0" vertical="center"/>
    </xf>
    <xf borderId="14" fillId="0" fontId="4" numFmtId="170" xfId="0" applyAlignment="1" applyBorder="1" applyFont="1" applyNumberFormat="1">
      <alignment horizontal="center" vertical="center"/>
    </xf>
    <xf borderId="14" fillId="3" fontId="4" numFmtId="170" xfId="0" applyAlignment="1" applyBorder="1" applyFont="1" applyNumberFormat="1">
      <alignment vertical="center"/>
    </xf>
    <xf borderId="4" fillId="5" fontId="4" numFmtId="165" xfId="0" applyAlignment="1" applyBorder="1" applyFont="1" applyNumberFormat="1">
      <alignment horizontal="center" vertical="center"/>
    </xf>
    <xf borderId="4" fillId="5" fontId="4" numFmtId="165" xfId="0" applyAlignment="1" applyBorder="1" applyFont="1" applyNumberFormat="1">
      <alignment vertical="center"/>
    </xf>
    <xf borderId="16" fillId="5" fontId="4" numFmtId="0" xfId="0" applyAlignment="1" applyBorder="1" applyFont="1">
      <alignment horizontal="right" vertical="center"/>
    </xf>
    <xf borderId="4" fillId="3" fontId="10" numFmtId="165" xfId="0" applyAlignment="1" applyBorder="1" applyFont="1" applyNumberFormat="1">
      <alignment vertical="center"/>
    </xf>
    <xf borderId="4" fillId="3" fontId="10" numFmtId="170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COUNTA(B4:B21)</f>
        <v>18</v>
      </c>
      <c r="L2" s="14">
        <f>COUNTIFS(C4:C21,"남")</f>
        <v>7</v>
      </c>
      <c r="M2" s="14">
        <f>COUNTIFS(C4:C21,"여")</f>
        <v>11</v>
      </c>
      <c r="N2" s="15">
        <f>AVERAGEIF(J4:J17,"&gt;0",J4:J17)</f>
        <v>40571.42857</v>
      </c>
      <c r="O2" s="16">
        <f>SUM(M4:M23)</f>
        <v>126</v>
      </c>
      <c r="P2" s="17">
        <f>SUM(F4:F17)</f>
        <v>117</v>
      </c>
      <c r="Q2" s="18">
        <f t="shared" ref="Q2:R2" si="1">SUM(Q4:Q19)</f>
        <v>6820000</v>
      </c>
      <c r="R2" s="18">
        <f t="shared" si="1"/>
        <v>6200000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25" t="s">
        <v>27</v>
      </c>
      <c r="C4" s="26" t="s">
        <v>4</v>
      </c>
      <c r="D4" s="27">
        <v>10.0</v>
      </c>
      <c r="E4" s="27">
        <v>10.0</v>
      </c>
      <c r="F4" s="28">
        <f>D4-E4</f>
        <v>0</v>
      </c>
      <c r="G4" s="29" t="s">
        <v>28</v>
      </c>
      <c r="H4" s="30">
        <v>440000.0</v>
      </c>
      <c r="I4" s="31">
        <f t="shared" ref="I4:I29" si="2">IF(G4="현금",H4,H4/1.1)</f>
        <v>400000</v>
      </c>
      <c r="J4" s="32">
        <f t="shared" ref="J4:J29" si="3">I4/D4</f>
        <v>40000</v>
      </c>
      <c r="K4" s="33">
        <v>0.5</v>
      </c>
      <c r="L4" s="34">
        <f t="shared" ref="L4:L29" si="4">PRODUCT(K4,J4)</f>
        <v>20000</v>
      </c>
      <c r="M4" s="35">
        <v>3.0</v>
      </c>
      <c r="N4" s="36">
        <f t="shared" ref="N4:N29" si="5">PRODUCT(M4,L4)</f>
        <v>60000</v>
      </c>
      <c r="O4" s="37" t="s">
        <v>29</v>
      </c>
      <c r="P4" s="38" t="s">
        <v>30</v>
      </c>
      <c r="Q4" s="38">
        <v>1320000.0</v>
      </c>
      <c r="R4" s="31">
        <f t="shared" ref="R4:R11" si="6">IF(P4="현금",Q4,Q4/1.1)</f>
        <v>1200000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4">
        <v>2.0</v>
      </c>
      <c r="B5" s="25" t="s">
        <v>31</v>
      </c>
      <c r="C5" s="26" t="s">
        <v>5</v>
      </c>
      <c r="D5" s="27">
        <v>20.0</v>
      </c>
      <c r="E5" s="27">
        <v>20.0</v>
      </c>
      <c r="F5" s="28">
        <v>0.0</v>
      </c>
      <c r="G5" s="29" t="s">
        <v>32</v>
      </c>
      <c r="H5" s="30">
        <v>880000.0</v>
      </c>
      <c r="I5" s="31">
        <f t="shared" si="2"/>
        <v>880000</v>
      </c>
      <c r="J5" s="32">
        <f t="shared" si="3"/>
        <v>44000</v>
      </c>
      <c r="K5" s="33">
        <v>0.5</v>
      </c>
      <c r="L5" s="34">
        <f t="shared" si="4"/>
        <v>22000</v>
      </c>
      <c r="M5" s="35">
        <v>3.0</v>
      </c>
      <c r="N5" s="36">
        <f t="shared" si="5"/>
        <v>66000</v>
      </c>
      <c r="O5" s="37" t="s">
        <v>33</v>
      </c>
      <c r="P5" s="38" t="s">
        <v>28</v>
      </c>
      <c r="Q5" s="38">
        <v>1320000.0</v>
      </c>
      <c r="R5" s="31">
        <f t="shared" si="6"/>
        <v>1200000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4">
        <v>3.0</v>
      </c>
      <c r="B6" s="25" t="s">
        <v>34</v>
      </c>
      <c r="C6" s="26" t="s">
        <v>5</v>
      </c>
      <c r="D6" s="27">
        <v>50.0</v>
      </c>
      <c r="E6" s="27">
        <v>32.0</v>
      </c>
      <c r="F6" s="28">
        <f t="shared" ref="F6:F7" si="7">D6-E6</f>
        <v>18</v>
      </c>
      <c r="G6" s="29" t="s">
        <v>28</v>
      </c>
      <c r="H6" s="30">
        <v>2200000.0</v>
      </c>
      <c r="I6" s="31">
        <f t="shared" si="2"/>
        <v>2000000</v>
      </c>
      <c r="J6" s="32">
        <f t="shared" si="3"/>
        <v>40000</v>
      </c>
      <c r="K6" s="33">
        <v>0.5</v>
      </c>
      <c r="L6" s="34">
        <f t="shared" si="4"/>
        <v>20000</v>
      </c>
      <c r="M6" s="35">
        <v>6.0</v>
      </c>
      <c r="N6" s="36">
        <f t="shared" si="5"/>
        <v>120000</v>
      </c>
      <c r="O6" s="37" t="s">
        <v>35</v>
      </c>
      <c r="P6" s="38" t="s">
        <v>28</v>
      </c>
      <c r="Q6" s="38">
        <v>880000.0</v>
      </c>
      <c r="R6" s="31">
        <f t="shared" si="6"/>
        <v>800000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4">
        <v>4.0</v>
      </c>
      <c r="B7" s="25" t="s">
        <v>36</v>
      </c>
      <c r="C7" s="26" t="s">
        <v>5</v>
      </c>
      <c r="D7" s="27">
        <v>50.0</v>
      </c>
      <c r="E7" s="27">
        <v>30.0</v>
      </c>
      <c r="F7" s="28">
        <f t="shared" si="7"/>
        <v>20</v>
      </c>
      <c r="G7" s="29" t="s">
        <v>28</v>
      </c>
      <c r="H7" s="30">
        <v>2200000.0</v>
      </c>
      <c r="I7" s="31">
        <f t="shared" si="2"/>
        <v>2000000</v>
      </c>
      <c r="J7" s="32">
        <f t="shared" si="3"/>
        <v>40000</v>
      </c>
      <c r="K7" s="33">
        <v>0.5</v>
      </c>
      <c r="L7" s="34">
        <f t="shared" si="4"/>
        <v>20000</v>
      </c>
      <c r="M7" s="35">
        <v>5.0</v>
      </c>
      <c r="N7" s="36">
        <f t="shared" si="5"/>
        <v>100000</v>
      </c>
      <c r="O7" s="40" t="s">
        <v>37</v>
      </c>
      <c r="P7" s="38" t="s">
        <v>28</v>
      </c>
      <c r="Q7" s="38">
        <v>1320000.0</v>
      </c>
      <c r="R7" s="31">
        <f t="shared" si="6"/>
        <v>1200000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4">
        <v>5.0</v>
      </c>
      <c r="B8" s="25" t="s">
        <v>38</v>
      </c>
      <c r="C8" s="26" t="s">
        <v>5</v>
      </c>
      <c r="D8" s="27">
        <v>50.0</v>
      </c>
      <c r="E8" s="27">
        <v>50.0</v>
      </c>
      <c r="F8" s="28">
        <v>0.0</v>
      </c>
      <c r="G8" s="29" t="s">
        <v>28</v>
      </c>
      <c r="H8" s="30">
        <v>2200000.0</v>
      </c>
      <c r="I8" s="31">
        <f t="shared" si="2"/>
        <v>2000000</v>
      </c>
      <c r="J8" s="32">
        <f t="shared" si="3"/>
        <v>40000</v>
      </c>
      <c r="K8" s="33">
        <v>0.5</v>
      </c>
      <c r="L8" s="34">
        <f t="shared" si="4"/>
        <v>20000</v>
      </c>
      <c r="M8" s="35">
        <v>13.0</v>
      </c>
      <c r="N8" s="36">
        <f t="shared" si="5"/>
        <v>260000</v>
      </c>
      <c r="O8" s="40" t="s">
        <v>39</v>
      </c>
      <c r="P8" s="38" t="s">
        <v>28</v>
      </c>
      <c r="Q8" s="38">
        <v>660000.0</v>
      </c>
      <c r="R8" s="31">
        <f t="shared" si="6"/>
        <v>600000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4">
        <v>7.0</v>
      </c>
      <c r="B9" s="41" t="s">
        <v>40</v>
      </c>
      <c r="C9" s="26" t="s">
        <v>5</v>
      </c>
      <c r="D9" s="27">
        <v>30.0</v>
      </c>
      <c r="E9" s="27">
        <v>23.0</v>
      </c>
      <c r="F9" s="28">
        <f t="shared" ref="F9:F29" si="8">D9-E9</f>
        <v>7</v>
      </c>
      <c r="G9" s="29" t="s">
        <v>28</v>
      </c>
      <c r="H9" s="30">
        <v>1320000.0</v>
      </c>
      <c r="I9" s="31">
        <f t="shared" si="2"/>
        <v>1200000</v>
      </c>
      <c r="J9" s="32">
        <f t="shared" si="3"/>
        <v>40000</v>
      </c>
      <c r="K9" s="33">
        <v>0.5</v>
      </c>
      <c r="L9" s="34">
        <f t="shared" si="4"/>
        <v>20000</v>
      </c>
      <c r="M9" s="35">
        <v>5.0</v>
      </c>
      <c r="N9" s="36">
        <f t="shared" si="5"/>
        <v>100000</v>
      </c>
      <c r="O9" s="37" t="s">
        <v>41</v>
      </c>
      <c r="P9" s="38" t="s">
        <v>28</v>
      </c>
      <c r="Q9" s="38">
        <v>440000.0</v>
      </c>
      <c r="R9" s="31">
        <f t="shared" si="6"/>
        <v>400000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4">
        <v>9.0</v>
      </c>
      <c r="B10" s="25" t="s">
        <v>42</v>
      </c>
      <c r="C10" s="26" t="s">
        <v>5</v>
      </c>
      <c r="D10" s="25">
        <v>30.0</v>
      </c>
      <c r="E10" s="25">
        <v>27.0</v>
      </c>
      <c r="F10" s="28">
        <f t="shared" si="8"/>
        <v>3</v>
      </c>
      <c r="G10" s="29" t="s">
        <v>28</v>
      </c>
      <c r="H10" s="30">
        <v>1320000.0</v>
      </c>
      <c r="I10" s="31">
        <f t="shared" si="2"/>
        <v>1200000</v>
      </c>
      <c r="J10" s="32">
        <f t="shared" si="3"/>
        <v>40000</v>
      </c>
      <c r="K10" s="33">
        <v>0.5</v>
      </c>
      <c r="L10" s="34">
        <f t="shared" si="4"/>
        <v>20000</v>
      </c>
      <c r="M10" s="35">
        <v>5.0</v>
      </c>
      <c r="N10" s="36">
        <f t="shared" si="5"/>
        <v>100000</v>
      </c>
      <c r="O10" s="37" t="s">
        <v>43</v>
      </c>
      <c r="P10" s="38" t="s">
        <v>28</v>
      </c>
      <c r="Q10" s="42">
        <v>440000.0</v>
      </c>
      <c r="R10" s="31">
        <f t="shared" si="6"/>
        <v>400000</v>
      </c>
      <c r="S10" s="10"/>
      <c r="T10" s="10"/>
      <c r="U10" s="10"/>
      <c r="V10" s="10"/>
      <c r="W10" s="10"/>
      <c r="X10" s="10"/>
      <c r="Y10" s="39"/>
      <c r="Z10" s="10"/>
    </row>
    <row r="11" ht="18.75" customHeight="1">
      <c r="A11" s="24">
        <v>10.0</v>
      </c>
      <c r="B11" s="25" t="s">
        <v>44</v>
      </c>
      <c r="C11" s="26" t="s">
        <v>4</v>
      </c>
      <c r="D11" s="26">
        <v>20.0</v>
      </c>
      <c r="E11" s="26">
        <v>20.0</v>
      </c>
      <c r="F11" s="28">
        <f t="shared" si="8"/>
        <v>0</v>
      </c>
      <c r="G11" s="29" t="s">
        <v>30</v>
      </c>
      <c r="H11" s="30">
        <v>880000.0</v>
      </c>
      <c r="I11" s="31">
        <f t="shared" si="2"/>
        <v>800000</v>
      </c>
      <c r="J11" s="32">
        <f t="shared" si="3"/>
        <v>40000</v>
      </c>
      <c r="K11" s="33">
        <v>0.5</v>
      </c>
      <c r="L11" s="34">
        <f t="shared" si="4"/>
        <v>20000</v>
      </c>
      <c r="M11" s="35">
        <v>5.0</v>
      </c>
      <c r="N11" s="36">
        <f t="shared" si="5"/>
        <v>100000</v>
      </c>
      <c r="O11" s="37" t="s">
        <v>45</v>
      </c>
      <c r="P11" s="37" t="s">
        <v>28</v>
      </c>
      <c r="Q11" s="38">
        <v>440000.0</v>
      </c>
      <c r="R11" s="31">
        <f t="shared" si="6"/>
        <v>400000</v>
      </c>
      <c r="S11" s="10"/>
      <c r="T11" s="10"/>
      <c r="U11" s="10"/>
      <c r="V11" s="10"/>
      <c r="W11" s="10"/>
      <c r="X11" s="10"/>
      <c r="Y11" s="39"/>
      <c r="Z11" s="10"/>
    </row>
    <row r="12" ht="18.75" customHeight="1">
      <c r="A12" s="24">
        <v>11.0</v>
      </c>
      <c r="B12" s="43" t="s">
        <v>46</v>
      </c>
      <c r="C12" s="27" t="s">
        <v>5</v>
      </c>
      <c r="D12" s="27">
        <v>50.0</v>
      </c>
      <c r="E12" s="27">
        <v>39.0</v>
      </c>
      <c r="F12" s="28">
        <f t="shared" si="8"/>
        <v>11</v>
      </c>
      <c r="G12" s="29" t="s">
        <v>28</v>
      </c>
      <c r="H12" s="30">
        <v>2200000.0</v>
      </c>
      <c r="I12" s="31">
        <f t="shared" si="2"/>
        <v>2000000</v>
      </c>
      <c r="J12" s="32">
        <f t="shared" si="3"/>
        <v>40000</v>
      </c>
      <c r="K12" s="33">
        <v>0.5</v>
      </c>
      <c r="L12" s="34">
        <f t="shared" si="4"/>
        <v>20000</v>
      </c>
      <c r="M12" s="35">
        <v>9.0</v>
      </c>
      <c r="N12" s="36">
        <f t="shared" si="5"/>
        <v>180000</v>
      </c>
      <c r="O12" s="37"/>
      <c r="P12" s="37"/>
      <c r="Q12" s="38"/>
      <c r="R12" s="31"/>
      <c r="S12" s="10"/>
      <c r="T12" s="10"/>
      <c r="U12" s="10"/>
      <c r="V12" s="10"/>
      <c r="W12" s="10"/>
      <c r="X12" s="10"/>
      <c r="Y12" s="39"/>
      <c r="Z12" s="10"/>
    </row>
    <row r="13" ht="18.75" customHeight="1">
      <c r="A13" s="24">
        <v>14.0</v>
      </c>
      <c r="B13" s="43" t="s">
        <v>47</v>
      </c>
      <c r="C13" s="27" t="s">
        <v>4</v>
      </c>
      <c r="D13" s="43">
        <v>50.0</v>
      </c>
      <c r="E13" s="43">
        <v>46.0</v>
      </c>
      <c r="F13" s="28">
        <f t="shared" si="8"/>
        <v>4</v>
      </c>
      <c r="G13" s="29" t="s">
        <v>30</v>
      </c>
      <c r="H13" s="44">
        <v>2200000.0</v>
      </c>
      <c r="I13" s="31">
        <f t="shared" si="2"/>
        <v>2000000</v>
      </c>
      <c r="J13" s="32">
        <f t="shared" si="3"/>
        <v>40000</v>
      </c>
      <c r="K13" s="33">
        <v>0.5</v>
      </c>
      <c r="L13" s="34">
        <f t="shared" si="4"/>
        <v>20000</v>
      </c>
      <c r="M13" s="45">
        <v>11.0</v>
      </c>
      <c r="N13" s="36">
        <f t="shared" si="5"/>
        <v>220000</v>
      </c>
      <c r="O13" s="37"/>
      <c r="P13" s="37"/>
      <c r="Q13" s="38"/>
      <c r="R13" s="31"/>
      <c r="S13" s="46"/>
      <c r="T13" s="10"/>
      <c r="U13" s="47"/>
      <c r="V13" s="47"/>
      <c r="W13" s="10"/>
      <c r="X13" s="10"/>
      <c r="Y13" s="39"/>
      <c r="Z13" s="10"/>
    </row>
    <row r="14" ht="18.75" customHeight="1">
      <c r="A14" s="24">
        <v>15.0</v>
      </c>
      <c r="B14" s="43" t="s">
        <v>48</v>
      </c>
      <c r="C14" s="27" t="s">
        <v>4</v>
      </c>
      <c r="D14" s="43">
        <v>10.0</v>
      </c>
      <c r="E14" s="43">
        <v>10.0</v>
      </c>
      <c r="F14" s="28">
        <f t="shared" si="8"/>
        <v>0</v>
      </c>
      <c r="G14" s="29" t="s">
        <v>30</v>
      </c>
      <c r="H14" s="44">
        <v>440000.0</v>
      </c>
      <c r="I14" s="31">
        <f t="shared" si="2"/>
        <v>400000</v>
      </c>
      <c r="J14" s="32">
        <f t="shared" si="3"/>
        <v>40000</v>
      </c>
      <c r="K14" s="33">
        <v>0.5</v>
      </c>
      <c r="L14" s="34">
        <f t="shared" si="4"/>
        <v>20000</v>
      </c>
      <c r="M14" s="45">
        <v>7.0</v>
      </c>
      <c r="N14" s="36">
        <f t="shared" si="5"/>
        <v>140000</v>
      </c>
      <c r="O14" s="37"/>
      <c r="P14" s="37"/>
      <c r="Q14" s="38"/>
      <c r="R14" s="31">
        <f>IF(P14="현금",Q14,Q14/1.1)</f>
        <v>0</v>
      </c>
      <c r="S14" s="46"/>
      <c r="T14" s="10"/>
      <c r="U14" s="47"/>
      <c r="V14" s="10"/>
      <c r="W14" s="10"/>
      <c r="X14" s="10"/>
      <c r="Y14" s="39"/>
      <c r="Z14" s="10"/>
    </row>
    <row r="15" ht="18.75" customHeight="1">
      <c r="A15" s="24">
        <v>16.0</v>
      </c>
      <c r="B15" s="43" t="s">
        <v>49</v>
      </c>
      <c r="C15" s="27" t="s">
        <v>5</v>
      </c>
      <c r="D15" s="27">
        <v>100.0</v>
      </c>
      <c r="E15" s="27">
        <v>57.0</v>
      </c>
      <c r="F15" s="28">
        <f t="shared" si="8"/>
        <v>43</v>
      </c>
      <c r="G15" s="29" t="s">
        <v>28</v>
      </c>
      <c r="H15" s="44">
        <v>4400000.0</v>
      </c>
      <c r="I15" s="31">
        <f t="shared" si="2"/>
        <v>4000000</v>
      </c>
      <c r="J15" s="32">
        <f t="shared" si="3"/>
        <v>40000</v>
      </c>
      <c r="K15" s="33">
        <v>0.5</v>
      </c>
      <c r="L15" s="34">
        <f t="shared" si="4"/>
        <v>20000</v>
      </c>
      <c r="M15" s="45">
        <v>15.0</v>
      </c>
      <c r="N15" s="36">
        <f t="shared" si="5"/>
        <v>300000</v>
      </c>
      <c r="O15" s="37"/>
      <c r="P15" s="38"/>
      <c r="Q15" s="38"/>
      <c r="R15" s="31"/>
      <c r="S15" s="46"/>
      <c r="T15" s="10"/>
      <c r="U15" s="47"/>
      <c r="V15" s="47"/>
      <c r="W15" s="10"/>
      <c r="X15" s="10"/>
      <c r="Y15" s="39"/>
      <c r="Z15" s="10"/>
    </row>
    <row r="16" ht="18.75" customHeight="1">
      <c r="A16" s="24">
        <v>17.0</v>
      </c>
      <c r="B16" s="43" t="s">
        <v>50</v>
      </c>
      <c r="C16" s="27" t="s">
        <v>5</v>
      </c>
      <c r="D16" s="27">
        <v>20.0</v>
      </c>
      <c r="E16" s="27">
        <v>9.0</v>
      </c>
      <c r="F16" s="28">
        <f t="shared" si="8"/>
        <v>11</v>
      </c>
      <c r="G16" s="29" t="s">
        <v>32</v>
      </c>
      <c r="H16" s="48">
        <v>880000.0</v>
      </c>
      <c r="I16" s="31">
        <f t="shared" si="2"/>
        <v>880000</v>
      </c>
      <c r="J16" s="32">
        <f t="shared" si="3"/>
        <v>44000</v>
      </c>
      <c r="K16" s="33">
        <v>0.5</v>
      </c>
      <c r="L16" s="34">
        <f t="shared" si="4"/>
        <v>22000</v>
      </c>
      <c r="M16" s="45">
        <v>9.0</v>
      </c>
      <c r="N16" s="36">
        <f t="shared" si="5"/>
        <v>198000</v>
      </c>
      <c r="O16" s="37"/>
      <c r="P16" s="38"/>
      <c r="Q16" s="38"/>
      <c r="R16" s="31">
        <f t="shared" ref="R16:R19" si="9">IF(P16="현금",Q16,Q16/1.1)</f>
        <v>0</v>
      </c>
      <c r="S16" s="46"/>
      <c r="T16" s="10"/>
      <c r="U16" s="47"/>
      <c r="V16" s="47"/>
      <c r="W16" s="10"/>
      <c r="X16" s="10"/>
      <c r="Y16" s="39"/>
      <c r="Z16" s="10"/>
    </row>
    <row r="17" ht="18.75" customHeight="1">
      <c r="A17" s="24">
        <v>18.0</v>
      </c>
      <c r="B17" s="43" t="s">
        <v>51</v>
      </c>
      <c r="C17" s="27" t="s">
        <v>4</v>
      </c>
      <c r="D17" s="27">
        <v>10.0</v>
      </c>
      <c r="E17" s="27">
        <v>10.0</v>
      </c>
      <c r="F17" s="28">
        <f t="shared" si="8"/>
        <v>0</v>
      </c>
      <c r="G17" s="29" t="s">
        <v>30</v>
      </c>
      <c r="H17" s="48">
        <v>440000.0</v>
      </c>
      <c r="I17" s="31">
        <f t="shared" si="2"/>
        <v>400000</v>
      </c>
      <c r="J17" s="32">
        <f t="shared" si="3"/>
        <v>40000</v>
      </c>
      <c r="K17" s="33">
        <v>0.5</v>
      </c>
      <c r="L17" s="34">
        <f t="shared" si="4"/>
        <v>20000</v>
      </c>
      <c r="M17" s="45">
        <v>5.0</v>
      </c>
      <c r="N17" s="36">
        <f t="shared" si="5"/>
        <v>100000</v>
      </c>
      <c r="O17" s="37"/>
      <c r="P17" s="38"/>
      <c r="Q17" s="38"/>
      <c r="R17" s="31">
        <f t="shared" si="9"/>
        <v>0</v>
      </c>
      <c r="S17" s="46"/>
      <c r="T17" s="10"/>
      <c r="U17" s="47"/>
      <c r="V17" s="47"/>
      <c r="W17" s="10"/>
      <c r="X17" s="10"/>
      <c r="Y17" s="39"/>
      <c r="Z17" s="10"/>
    </row>
    <row r="18" ht="18.75" customHeight="1">
      <c r="A18" s="24">
        <v>21.0</v>
      </c>
      <c r="B18" s="43" t="s">
        <v>52</v>
      </c>
      <c r="C18" s="27" t="s">
        <v>5</v>
      </c>
      <c r="D18" s="27">
        <v>40.0</v>
      </c>
      <c r="E18" s="27">
        <v>20.0</v>
      </c>
      <c r="F18" s="28">
        <f t="shared" si="8"/>
        <v>20</v>
      </c>
      <c r="G18" s="29" t="s">
        <v>28</v>
      </c>
      <c r="H18" s="48">
        <v>1760000.0</v>
      </c>
      <c r="I18" s="31">
        <f t="shared" si="2"/>
        <v>1600000</v>
      </c>
      <c r="J18" s="32">
        <f t="shared" si="3"/>
        <v>40000</v>
      </c>
      <c r="K18" s="33">
        <v>0.5</v>
      </c>
      <c r="L18" s="34">
        <f t="shared" si="4"/>
        <v>20000</v>
      </c>
      <c r="M18" s="45">
        <v>4.0</v>
      </c>
      <c r="N18" s="36">
        <f t="shared" si="5"/>
        <v>80000</v>
      </c>
      <c r="O18" s="49"/>
      <c r="P18" s="49"/>
      <c r="Q18" s="38"/>
      <c r="R18" s="31">
        <f t="shared" si="9"/>
        <v>0</v>
      </c>
      <c r="S18" s="46"/>
      <c r="T18" s="10"/>
      <c r="U18" s="47"/>
      <c r="V18" s="47"/>
      <c r="W18" s="10"/>
      <c r="X18" s="10"/>
      <c r="Y18" s="39"/>
      <c r="Z18" s="10"/>
    </row>
    <row r="19" ht="18.75" customHeight="1">
      <c r="A19" s="24">
        <v>22.0</v>
      </c>
      <c r="B19" s="43" t="s">
        <v>53</v>
      </c>
      <c r="C19" s="27" t="s">
        <v>4</v>
      </c>
      <c r="D19" s="27">
        <v>20.0</v>
      </c>
      <c r="E19" s="27">
        <v>20.0</v>
      </c>
      <c r="F19" s="28">
        <f t="shared" si="8"/>
        <v>0</v>
      </c>
      <c r="G19" s="29" t="s">
        <v>28</v>
      </c>
      <c r="H19" s="48">
        <v>880000.0</v>
      </c>
      <c r="I19" s="31">
        <f t="shared" si="2"/>
        <v>800000</v>
      </c>
      <c r="J19" s="32">
        <f t="shared" si="3"/>
        <v>40000</v>
      </c>
      <c r="K19" s="33">
        <v>0.5</v>
      </c>
      <c r="L19" s="34">
        <f t="shared" si="4"/>
        <v>20000</v>
      </c>
      <c r="M19" s="45">
        <v>2.0</v>
      </c>
      <c r="N19" s="36">
        <f t="shared" si="5"/>
        <v>40000</v>
      </c>
      <c r="O19" s="49"/>
      <c r="P19" s="49"/>
      <c r="Q19" s="38"/>
      <c r="R19" s="31">
        <f t="shared" si="9"/>
        <v>0</v>
      </c>
      <c r="S19" s="46"/>
      <c r="T19" s="10"/>
      <c r="U19" s="47"/>
      <c r="V19" s="47"/>
      <c r="W19" s="10"/>
      <c r="X19" s="10"/>
      <c r="Y19" s="39"/>
      <c r="Z19" s="10"/>
    </row>
    <row r="20" ht="18.75" customHeight="1">
      <c r="A20" s="24">
        <v>23.0</v>
      </c>
      <c r="B20" s="43" t="s">
        <v>54</v>
      </c>
      <c r="C20" s="27" t="s">
        <v>5</v>
      </c>
      <c r="D20" s="27">
        <v>10.0</v>
      </c>
      <c r="E20" s="27">
        <v>10.0</v>
      </c>
      <c r="F20" s="28">
        <f t="shared" si="8"/>
        <v>0</v>
      </c>
      <c r="G20" s="29" t="s">
        <v>28</v>
      </c>
      <c r="H20" s="48">
        <v>440000.0</v>
      </c>
      <c r="I20" s="31">
        <f t="shared" si="2"/>
        <v>400000</v>
      </c>
      <c r="J20" s="32">
        <f t="shared" si="3"/>
        <v>40000</v>
      </c>
      <c r="K20" s="33">
        <v>0.5</v>
      </c>
      <c r="L20" s="34">
        <f t="shared" si="4"/>
        <v>20000</v>
      </c>
      <c r="M20" s="45">
        <v>2.0</v>
      </c>
      <c r="N20" s="36">
        <f t="shared" si="5"/>
        <v>40000</v>
      </c>
      <c r="O20" s="50"/>
      <c r="P20" s="50"/>
      <c r="Q20" s="50"/>
      <c r="R20" s="51"/>
      <c r="S20" s="46"/>
      <c r="T20" s="52"/>
      <c r="U20" s="47"/>
      <c r="V20" s="47"/>
      <c r="W20" s="10"/>
      <c r="X20" s="10"/>
      <c r="Y20" s="39"/>
      <c r="Z20" s="10"/>
    </row>
    <row r="21" ht="18.75" customHeight="1">
      <c r="A21" s="24">
        <v>24.0</v>
      </c>
      <c r="B21" s="43" t="s">
        <v>55</v>
      </c>
      <c r="C21" s="27" t="s">
        <v>4</v>
      </c>
      <c r="D21" s="27">
        <v>10.0</v>
      </c>
      <c r="E21" s="27">
        <v>10.0</v>
      </c>
      <c r="F21" s="28">
        <f t="shared" si="8"/>
        <v>0</v>
      </c>
      <c r="G21" s="29" t="s">
        <v>28</v>
      </c>
      <c r="H21" s="48">
        <v>440000.0</v>
      </c>
      <c r="I21" s="31">
        <f t="shared" si="2"/>
        <v>400000</v>
      </c>
      <c r="J21" s="32">
        <f t="shared" si="3"/>
        <v>40000</v>
      </c>
      <c r="K21" s="33">
        <v>0.5</v>
      </c>
      <c r="L21" s="34">
        <f t="shared" si="4"/>
        <v>20000</v>
      </c>
      <c r="M21" s="45">
        <v>3.0</v>
      </c>
      <c r="N21" s="36">
        <f t="shared" si="5"/>
        <v>60000</v>
      </c>
      <c r="O21" s="53" t="s">
        <v>56</v>
      </c>
      <c r="P21" s="22"/>
      <c r="Q21" s="23"/>
      <c r="R21" s="54"/>
      <c r="S21" s="46"/>
      <c r="T21" s="55"/>
      <c r="U21" s="47"/>
      <c r="V21" s="10"/>
      <c r="W21" s="10"/>
      <c r="X21" s="10"/>
      <c r="Y21" s="10"/>
      <c r="Z21" s="10"/>
    </row>
    <row r="22" ht="18.75" customHeight="1">
      <c r="A22" s="24">
        <v>25.0</v>
      </c>
      <c r="B22" s="43" t="s">
        <v>57</v>
      </c>
      <c r="C22" s="27" t="s">
        <v>4</v>
      </c>
      <c r="D22" s="27">
        <v>30.0</v>
      </c>
      <c r="E22" s="27">
        <v>18.0</v>
      </c>
      <c r="F22" s="28">
        <f t="shared" si="8"/>
        <v>12</v>
      </c>
      <c r="G22" s="29" t="s">
        <v>28</v>
      </c>
      <c r="H22" s="48">
        <v>1980000.0</v>
      </c>
      <c r="I22" s="31">
        <f t="shared" si="2"/>
        <v>1800000</v>
      </c>
      <c r="J22" s="32">
        <f t="shared" si="3"/>
        <v>60000</v>
      </c>
      <c r="K22" s="33">
        <v>0.5</v>
      </c>
      <c r="L22" s="34">
        <f t="shared" si="4"/>
        <v>30000</v>
      </c>
      <c r="M22" s="45">
        <v>8.0</v>
      </c>
      <c r="N22" s="36">
        <f t="shared" si="5"/>
        <v>240000</v>
      </c>
      <c r="O22" s="53" t="s">
        <v>58</v>
      </c>
      <c r="P22" s="22"/>
      <c r="Q22" s="23"/>
      <c r="R22" s="54" t="str">
        <f>R21+#REF!</f>
        <v>#REF!</v>
      </c>
      <c r="S22" s="46"/>
      <c r="T22" s="56"/>
      <c r="U22" s="47"/>
      <c r="V22" s="10"/>
      <c r="W22" s="10"/>
      <c r="X22" s="10"/>
      <c r="Y22" s="10"/>
      <c r="Z22" s="10"/>
    </row>
    <row r="23" ht="18.75" customHeight="1">
      <c r="A23" s="24">
        <v>26.0</v>
      </c>
      <c r="B23" s="43" t="s">
        <v>59</v>
      </c>
      <c r="C23" s="27" t="s">
        <v>4</v>
      </c>
      <c r="D23" s="27">
        <v>10.0</v>
      </c>
      <c r="E23" s="27">
        <v>6.0</v>
      </c>
      <c r="F23" s="28">
        <f t="shared" si="8"/>
        <v>4</v>
      </c>
      <c r="G23" s="29" t="s">
        <v>30</v>
      </c>
      <c r="H23" s="48">
        <v>660000.0</v>
      </c>
      <c r="I23" s="31">
        <f t="shared" si="2"/>
        <v>600000</v>
      </c>
      <c r="J23" s="32">
        <f t="shared" si="3"/>
        <v>60000</v>
      </c>
      <c r="K23" s="33">
        <v>0.5</v>
      </c>
      <c r="L23" s="34">
        <f t="shared" si="4"/>
        <v>30000</v>
      </c>
      <c r="M23" s="45">
        <v>6.0</v>
      </c>
      <c r="N23" s="36">
        <f t="shared" si="5"/>
        <v>180000</v>
      </c>
      <c r="O23" s="57" t="s">
        <v>60</v>
      </c>
      <c r="P23" s="2"/>
      <c r="Q23" s="3"/>
      <c r="R23" s="58">
        <v>1400000.0</v>
      </c>
      <c r="S23" s="46"/>
      <c r="T23" s="56"/>
      <c r="U23" s="47"/>
      <c r="V23" s="10"/>
      <c r="W23" s="10"/>
      <c r="X23" s="10"/>
      <c r="Y23" s="10"/>
      <c r="Z23" s="10"/>
    </row>
    <row r="24" ht="18.75" customHeight="1">
      <c r="A24" s="24">
        <v>27.0</v>
      </c>
      <c r="B24" s="43" t="s">
        <v>61</v>
      </c>
      <c r="C24" s="27" t="s">
        <v>4</v>
      </c>
      <c r="D24" s="27">
        <v>30.0</v>
      </c>
      <c r="E24" s="27">
        <v>17.0</v>
      </c>
      <c r="F24" s="28">
        <f t="shared" si="8"/>
        <v>13</v>
      </c>
      <c r="G24" s="29" t="s">
        <v>28</v>
      </c>
      <c r="H24" s="48">
        <v>1980000.0</v>
      </c>
      <c r="I24" s="31">
        <f t="shared" si="2"/>
        <v>1800000</v>
      </c>
      <c r="J24" s="32">
        <f t="shared" si="3"/>
        <v>60000</v>
      </c>
      <c r="K24" s="33">
        <v>0.5</v>
      </c>
      <c r="L24" s="34">
        <f t="shared" si="4"/>
        <v>30000</v>
      </c>
      <c r="M24" s="45">
        <v>9.0</v>
      </c>
      <c r="N24" s="36">
        <f t="shared" si="5"/>
        <v>270000</v>
      </c>
      <c r="O24" s="59"/>
      <c r="P24" s="60"/>
      <c r="Q24" s="61"/>
      <c r="R24" s="62"/>
      <c r="S24" s="46"/>
      <c r="T24" s="10"/>
      <c r="U24" s="47"/>
      <c r="V24" s="10"/>
      <c r="W24" s="10"/>
      <c r="X24" s="10"/>
      <c r="Y24" s="10"/>
      <c r="Z24" s="10"/>
    </row>
    <row r="25" ht="18.75" customHeight="1">
      <c r="A25" s="24">
        <v>28.0</v>
      </c>
      <c r="B25" s="43" t="s">
        <v>29</v>
      </c>
      <c r="C25" s="27" t="s">
        <v>5</v>
      </c>
      <c r="D25" s="27">
        <v>20.0</v>
      </c>
      <c r="E25" s="27">
        <v>1.0</v>
      </c>
      <c r="F25" s="28">
        <f t="shared" si="8"/>
        <v>19</v>
      </c>
      <c r="G25" s="29" t="s">
        <v>28</v>
      </c>
      <c r="H25" s="48">
        <v>1320000.0</v>
      </c>
      <c r="I25" s="31">
        <f t="shared" si="2"/>
        <v>1200000</v>
      </c>
      <c r="J25" s="32">
        <f t="shared" si="3"/>
        <v>60000</v>
      </c>
      <c r="K25" s="33">
        <v>0.5</v>
      </c>
      <c r="L25" s="34">
        <f t="shared" si="4"/>
        <v>30000</v>
      </c>
      <c r="M25" s="45">
        <v>1.0</v>
      </c>
      <c r="N25" s="36">
        <f t="shared" si="5"/>
        <v>30000</v>
      </c>
      <c r="O25" s="57" t="s">
        <v>62</v>
      </c>
      <c r="P25" s="2"/>
      <c r="Q25" s="3"/>
      <c r="R25" s="63">
        <f>SUMIF(N4:N29,"&gt;0",N4:N29)</f>
        <v>3134000</v>
      </c>
      <c r="S25" s="46"/>
      <c r="T25" s="10"/>
      <c r="U25" s="47"/>
      <c r="V25" s="10"/>
      <c r="W25" s="10"/>
      <c r="X25" s="10"/>
      <c r="Y25" s="10"/>
      <c r="Z25" s="10"/>
    </row>
    <row r="26" ht="18.75" customHeight="1">
      <c r="A26" s="24">
        <v>29.0</v>
      </c>
      <c r="B26" s="43" t="s">
        <v>39</v>
      </c>
      <c r="C26" s="27" t="s">
        <v>5</v>
      </c>
      <c r="D26" s="27">
        <v>10.0</v>
      </c>
      <c r="E26" s="27">
        <v>1.0</v>
      </c>
      <c r="F26" s="28">
        <f t="shared" si="8"/>
        <v>9</v>
      </c>
      <c r="G26" s="29" t="s">
        <v>28</v>
      </c>
      <c r="H26" s="48">
        <v>660000.0</v>
      </c>
      <c r="I26" s="31">
        <f t="shared" si="2"/>
        <v>600000</v>
      </c>
      <c r="J26" s="32">
        <f t="shared" si="3"/>
        <v>60000</v>
      </c>
      <c r="K26" s="33">
        <v>0.5</v>
      </c>
      <c r="L26" s="34">
        <f t="shared" si="4"/>
        <v>30000</v>
      </c>
      <c r="M26" s="45">
        <v>1.0</v>
      </c>
      <c r="N26" s="36">
        <f t="shared" si="5"/>
        <v>30000</v>
      </c>
      <c r="O26" s="59"/>
      <c r="P26" s="60"/>
      <c r="Q26" s="61"/>
      <c r="R26" s="62"/>
      <c r="S26" s="46"/>
      <c r="T26" s="10"/>
      <c r="U26" s="47"/>
      <c r="V26" s="10"/>
      <c r="W26" s="10"/>
      <c r="X26" s="10"/>
      <c r="Y26" s="10"/>
      <c r="Z26" s="10"/>
    </row>
    <row r="27" ht="18.75" customHeight="1">
      <c r="A27" s="24">
        <v>30.0</v>
      </c>
      <c r="B27" s="43" t="s">
        <v>35</v>
      </c>
      <c r="C27" s="27" t="s">
        <v>5</v>
      </c>
      <c r="D27" s="27">
        <v>20.0</v>
      </c>
      <c r="E27" s="27">
        <v>0.0</v>
      </c>
      <c r="F27" s="28">
        <f t="shared" si="8"/>
        <v>20</v>
      </c>
      <c r="G27" s="29" t="s">
        <v>28</v>
      </c>
      <c r="H27" s="48">
        <v>880000.0</v>
      </c>
      <c r="I27" s="31">
        <f t="shared" si="2"/>
        <v>800000</v>
      </c>
      <c r="J27" s="32">
        <f t="shared" si="3"/>
        <v>40000</v>
      </c>
      <c r="K27" s="33">
        <v>0.5</v>
      </c>
      <c r="L27" s="34">
        <f t="shared" si="4"/>
        <v>20000</v>
      </c>
      <c r="M27" s="45">
        <v>0.0</v>
      </c>
      <c r="N27" s="36">
        <f t="shared" si="5"/>
        <v>0</v>
      </c>
      <c r="O27" s="64" t="s">
        <v>63</v>
      </c>
      <c r="P27" s="22"/>
      <c r="Q27" s="23"/>
      <c r="R27" s="65">
        <f>R23+R25</f>
        <v>4534000</v>
      </c>
      <c r="S27" s="46"/>
      <c r="T27" s="10"/>
      <c r="U27" s="47"/>
      <c r="V27" s="10"/>
      <c r="W27" s="10"/>
      <c r="X27" s="10"/>
      <c r="Y27" s="10"/>
      <c r="Z27" s="10"/>
    </row>
    <row r="28" ht="18.75" customHeight="1">
      <c r="A28" s="24">
        <v>31.0</v>
      </c>
      <c r="B28" s="43" t="s">
        <v>33</v>
      </c>
      <c r="C28" s="27" t="s">
        <v>5</v>
      </c>
      <c r="D28" s="27">
        <v>20.0</v>
      </c>
      <c r="E28" s="27">
        <v>0.0</v>
      </c>
      <c r="F28" s="28">
        <f t="shared" si="8"/>
        <v>20</v>
      </c>
      <c r="G28" s="29" t="s">
        <v>28</v>
      </c>
      <c r="H28" s="48">
        <v>1320000.0</v>
      </c>
      <c r="I28" s="31">
        <f t="shared" si="2"/>
        <v>1200000</v>
      </c>
      <c r="J28" s="32">
        <f t="shared" si="3"/>
        <v>60000</v>
      </c>
      <c r="K28" s="33">
        <v>0.5</v>
      </c>
      <c r="L28" s="34">
        <f t="shared" si="4"/>
        <v>30000</v>
      </c>
      <c r="M28" s="45">
        <v>0.0</v>
      </c>
      <c r="N28" s="36">
        <f t="shared" si="5"/>
        <v>0</v>
      </c>
      <c r="O28" s="66"/>
      <c r="P28" s="66"/>
      <c r="Q28" s="66"/>
      <c r="R28" s="65"/>
      <c r="S28" s="46"/>
      <c r="T28" s="10"/>
      <c r="U28" s="47"/>
      <c r="V28" s="10"/>
      <c r="W28" s="10"/>
      <c r="X28" s="10"/>
      <c r="Y28" s="10"/>
      <c r="Z28" s="10"/>
    </row>
    <row r="29" ht="18.75" customHeight="1">
      <c r="A29" s="24">
        <v>32.0</v>
      </c>
      <c r="B29" s="43" t="s">
        <v>37</v>
      </c>
      <c r="C29" s="27" t="s">
        <v>5</v>
      </c>
      <c r="D29" s="27">
        <v>20.0</v>
      </c>
      <c r="E29" s="27">
        <v>4.0</v>
      </c>
      <c r="F29" s="28">
        <f t="shared" si="8"/>
        <v>16</v>
      </c>
      <c r="G29" s="29" t="s">
        <v>28</v>
      </c>
      <c r="H29" s="48">
        <v>1320000.0</v>
      </c>
      <c r="I29" s="31">
        <f t="shared" si="2"/>
        <v>1200000</v>
      </c>
      <c r="J29" s="32">
        <f t="shared" si="3"/>
        <v>60000</v>
      </c>
      <c r="K29" s="33">
        <v>0.5</v>
      </c>
      <c r="L29" s="34">
        <f t="shared" si="4"/>
        <v>30000</v>
      </c>
      <c r="M29" s="45">
        <v>4.0</v>
      </c>
      <c r="N29" s="36">
        <f t="shared" si="5"/>
        <v>120000</v>
      </c>
      <c r="O29" s="67" t="s">
        <v>64</v>
      </c>
      <c r="P29" s="22"/>
      <c r="Q29" s="22"/>
      <c r="R29" s="23"/>
      <c r="S29" s="46"/>
      <c r="T29" s="10"/>
      <c r="U29" s="47"/>
      <c r="V29" s="10"/>
      <c r="W29" s="10"/>
      <c r="X29" s="10"/>
      <c r="Y29" s="10"/>
      <c r="Z29" s="10"/>
    </row>
    <row r="30" ht="18.75" customHeight="1">
      <c r="A30" s="68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67" t="s">
        <v>65</v>
      </c>
      <c r="P30" s="22"/>
      <c r="Q30" s="22"/>
      <c r="R30" s="23"/>
      <c r="S30" s="46"/>
      <c r="T30" s="10"/>
      <c r="U30" s="47"/>
      <c r="V30" s="10"/>
      <c r="W30" s="10"/>
      <c r="X30" s="10"/>
      <c r="Y30" s="10"/>
      <c r="Z30" s="10"/>
    </row>
    <row r="31" ht="18.75" customHeight="1">
      <c r="A31" s="68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7" t="s">
        <v>66</v>
      </c>
      <c r="P31" s="22"/>
      <c r="Q31" s="22"/>
      <c r="R31" s="23"/>
      <c r="S31" s="46"/>
      <c r="T31" s="10"/>
      <c r="U31" s="47"/>
      <c r="V31" s="10"/>
      <c r="W31" s="10"/>
      <c r="X31" s="10"/>
      <c r="Y31" s="10"/>
      <c r="Z31" s="10"/>
    </row>
    <row r="32" ht="18.75" customHeight="1">
      <c r="A32" s="68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67" t="s">
        <v>67</v>
      </c>
      <c r="P32" s="22"/>
      <c r="Q32" s="22"/>
      <c r="R32" s="23"/>
      <c r="S32" s="46"/>
      <c r="T32" s="10"/>
      <c r="U32" s="47"/>
      <c r="V32" s="10"/>
      <c r="W32" s="10"/>
      <c r="X32" s="10"/>
      <c r="Y32" s="10"/>
      <c r="Z32" s="10"/>
    </row>
    <row r="33" ht="18.75" customHeight="1">
      <c r="A33" s="68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67" t="s">
        <v>68</v>
      </c>
      <c r="P33" s="22"/>
      <c r="Q33" s="22"/>
      <c r="R33" s="23"/>
      <c r="S33" s="46"/>
      <c r="T33" s="10"/>
      <c r="U33" s="47"/>
      <c r="V33" s="10"/>
      <c r="W33" s="10"/>
      <c r="X33" s="10"/>
      <c r="Y33" s="10"/>
      <c r="Z33" s="10"/>
    </row>
    <row r="34" ht="18.75" customHeight="1">
      <c r="A34" s="6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7" t="s">
        <v>69</v>
      </c>
      <c r="P34" s="22"/>
      <c r="Q34" s="22"/>
      <c r="R34" s="23"/>
      <c r="S34" s="46"/>
      <c r="T34" s="39"/>
      <c r="U34" s="39"/>
      <c r="X34" s="39"/>
      <c r="Y34" s="10"/>
      <c r="Z34" s="10"/>
    </row>
    <row r="35" ht="18.75" customHeigh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67" t="s">
        <v>70</v>
      </c>
      <c r="P35" s="22"/>
      <c r="Q35" s="22"/>
      <c r="R35" s="23"/>
      <c r="S35" s="46"/>
      <c r="T35" s="39"/>
      <c r="U35" s="39"/>
      <c r="X35" s="39"/>
      <c r="Y35" s="10"/>
      <c r="Z35" s="10"/>
    </row>
    <row r="36" ht="18.75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67" t="s">
        <v>71</v>
      </c>
      <c r="P36" s="22"/>
      <c r="Q36" s="22"/>
      <c r="R36" s="23"/>
      <c r="S36" s="46"/>
      <c r="T36" s="39"/>
      <c r="U36" s="39"/>
      <c r="X36" s="39"/>
      <c r="Y36" s="10"/>
      <c r="Z36" s="10"/>
    </row>
    <row r="37" ht="18.75" customHeight="1">
      <c r="A37" s="68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67" t="s">
        <v>72</v>
      </c>
      <c r="P37" s="22"/>
      <c r="Q37" s="22"/>
      <c r="R37" s="23"/>
      <c r="S37" s="46"/>
      <c r="T37" s="39"/>
      <c r="U37" s="39"/>
      <c r="X37" s="39"/>
    </row>
    <row r="38" ht="16.5" customHeight="1">
      <c r="A38" s="6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68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3">
    <mergeCell ref="O25:Q26"/>
    <mergeCell ref="O27:Q27"/>
    <mergeCell ref="O29:R29"/>
    <mergeCell ref="O30:R30"/>
    <mergeCell ref="O31:R31"/>
    <mergeCell ref="O32:R32"/>
    <mergeCell ref="O33:R33"/>
    <mergeCell ref="R25:R26"/>
    <mergeCell ref="O34:R34"/>
    <mergeCell ref="U34:W34"/>
    <mergeCell ref="U35:W35"/>
    <mergeCell ref="U36:W36"/>
    <mergeCell ref="U37:W37"/>
    <mergeCell ref="O35:R35"/>
    <mergeCell ref="O36:R36"/>
    <mergeCell ref="O37:R37"/>
    <mergeCell ref="A1:H2"/>
    <mergeCell ref="O3:R3"/>
    <mergeCell ref="O21:Q21"/>
    <mergeCell ref="O22:Q22"/>
    <mergeCell ref="O23:Q24"/>
    <mergeCell ref="R23:R24"/>
    <mergeCell ref="A34:A36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73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74</v>
      </c>
      <c r="K2" s="14">
        <f>COUNTA(B4:B34)</f>
        <v>27</v>
      </c>
      <c r="L2" s="14">
        <f>COUNTIFS(C4:C34,"남")</f>
        <v>8</v>
      </c>
      <c r="M2" s="14">
        <f>COUNTIFS(C4:C34,"여")</f>
        <v>19</v>
      </c>
      <c r="N2" s="15">
        <f>AVERAGEIF(J4:J33,"&gt;0",J4:J33)</f>
        <v>38891.12032</v>
      </c>
      <c r="O2" s="16">
        <f>SUM(M4:M34)</f>
        <v>86</v>
      </c>
      <c r="P2" s="17">
        <f>SUM(F4:F34)</f>
        <v>243</v>
      </c>
      <c r="Q2" s="18">
        <f t="shared" ref="Q2:R2" si="1">SUM(Q5:Q19)</f>
        <v>440000</v>
      </c>
      <c r="R2" s="18" t="str">
        <f t="shared" si="1"/>
        <v>#VALUE!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69" t="s">
        <v>75</v>
      </c>
      <c r="C4" s="70" t="s">
        <v>4</v>
      </c>
      <c r="D4" s="71">
        <v>100.0</v>
      </c>
      <c r="E4" s="71">
        <v>64.0</v>
      </c>
      <c r="F4" s="72">
        <v>36.0</v>
      </c>
      <c r="G4" s="24">
        <f t="shared" ref="G4:G34" si="2">E4+F4</f>
        <v>100</v>
      </c>
      <c r="H4" s="73">
        <v>4400000.0</v>
      </c>
      <c r="I4" s="31">
        <f t="shared" ref="I4:I30" si="3">IF(G4="현금",H4,H4/1.1)</f>
        <v>4000000</v>
      </c>
      <c r="J4" s="74">
        <f t="shared" ref="J4:J30" si="4">I4/D4</f>
        <v>40000</v>
      </c>
      <c r="K4" s="33">
        <v>0.4</v>
      </c>
      <c r="L4" s="75">
        <f t="shared" ref="L4:L30" si="5">PRODUCT(K4,J4)</f>
        <v>16000</v>
      </c>
      <c r="M4" s="76">
        <v>8.0</v>
      </c>
      <c r="N4" s="77">
        <f t="shared" ref="N4:N30" si="6">PRODUCT(M4,L4)</f>
        <v>128000</v>
      </c>
      <c r="O4" s="78" t="s">
        <v>76</v>
      </c>
      <c r="P4" s="78" t="s">
        <v>77</v>
      </c>
      <c r="Q4" s="78" t="s">
        <v>78</v>
      </c>
      <c r="R4" s="78" t="s">
        <v>79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9">
        <v>2.0</v>
      </c>
      <c r="B5" s="25" t="s">
        <v>80</v>
      </c>
      <c r="C5" s="26" t="s">
        <v>4</v>
      </c>
      <c r="D5" s="27">
        <v>50.0</v>
      </c>
      <c r="E5" s="27">
        <v>43.0</v>
      </c>
      <c r="F5" s="28">
        <v>7.0</v>
      </c>
      <c r="G5" s="24">
        <f t="shared" si="2"/>
        <v>50</v>
      </c>
      <c r="H5" s="30">
        <v>2200000.0</v>
      </c>
      <c r="I5" s="31">
        <f t="shared" si="3"/>
        <v>2000000</v>
      </c>
      <c r="J5" s="32">
        <f t="shared" si="4"/>
        <v>40000</v>
      </c>
      <c r="K5" s="33">
        <v>0.4</v>
      </c>
      <c r="L5" s="34">
        <f t="shared" si="5"/>
        <v>16000</v>
      </c>
      <c r="M5" s="35">
        <v>5.0</v>
      </c>
      <c r="N5" s="36">
        <f t="shared" si="6"/>
        <v>80000</v>
      </c>
      <c r="O5" s="37" t="s">
        <v>81</v>
      </c>
      <c r="P5" s="37">
        <v>10.0</v>
      </c>
      <c r="Q5" s="38">
        <v>440000.0</v>
      </c>
      <c r="R5" s="31">
        <f t="shared" ref="R5:R14" si="7">IF(P5="현금",Q5,Q5/1.1)</f>
        <v>400000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9">
        <v>3.0</v>
      </c>
      <c r="B6" s="25" t="s">
        <v>82</v>
      </c>
      <c r="C6" s="26" t="s">
        <v>4</v>
      </c>
      <c r="D6" s="27">
        <v>53.0</v>
      </c>
      <c r="E6" s="27">
        <v>31.0</v>
      </c>
      <c r="F6" s="28">
        <v>26.0</v>
      </c>
      <c r="G6" s="24">
        <f t="shared" si="2"/>
        <v>57</v>
      </c>
      <c r="H6" s="30">
        <v>2332200.0</v>
      </c>
      <c r="I6" s="31">
        <f t="shared" si="3"/>
        <v>2120181.818</v>
      </c>
      <c r="J6" s="32">
        <f t="shared" si="4"/>
        <v>40003.43053</v>
      </c>
      <c r="K6" s="33">
        <v>0.4</v>
      </c>
      <c r="L6" s="34">
        <f t="shared" si="5"/>
        <v>16001.37221</v>
      </c>
      <c r="M6" s="35">
        <v>4.0</v>
      </c>
      <c r="N6" s="36">
        <f t="shared" si="6"/>
        <v>64005.48885</v>
      </c>
      <c r="O6" s="37" t="s">
        <v>80</v>
      </c>
      <c r="P6" s="37">
        <v>8.0</v>
      </c>
      <c r="Q6" s="38" t="s">
        <v>83</v>
      </c>
      <c r="R6" s="31" t="str">
        <f t="shared" si="7"/>
        <v>#VALUE!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9">
        <v>5.0</v>
      </c>
      <c r="B7" s="25" t="s">
        <v>84</v>
      </c>
      <c r="C7" s="26" t="s">
        <v>5</v>
      </c>
      <c r="D7" s="27">
        <v>50.0</v>
      </c>
      <c r="E7" s="27">
        <v>42.0</v>
      </c>
      <c r="F7" s="28">
        <f t="shared" ref="F7:F27" si="8">D7-E7</f>
        <v>8</v>
      </c>
      <c r="G7" s="24">
        <f t="shared" si="2"/>
        <v>50</v>
      </c>
      <c r="H7" s="30">
        <v>2200000.0</v>
      </c>
      <c r="I7" s="31">
        <f t="shared" si="3"/>
        <v>2000000</v>
      </c>
      <c r="J7" s="32">
        <f t="shared" si="4"/>
        <v>40000</v>
      </c>
      <c r="K7" s="33">
        <v>0.4</v>
      </c>
      <c r="L7" s="34">
        <f t="shared" si="5"/>
        <v>16000</v>
      </c>
      <c r="M7" s="35">
        <v>3.0</v>
      </c>
      <c r="N7" s="36">
        <f t="shared" si="6"/>
        <v>48000</v>
      </c>
      <c r="O7" s="40"/>
      <c r="P7" s="37"/>
      <c r="Q7" s="38"/>
      <c r="R7" s="31">
        <f t="shared" si="7"/>
        <v>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4">
        <v>6.0</v>
      </c>
      <c r="B8" s="25" t="s">
        <v>81</v>
      </c>
      <c r="C8" s="26" t="s">
        <v>5</v>
      </c>
      <c r="D8" s="27">
        <v>30.0</v>
      </c>
      <c r="E8" s="27">
        <v>24.0</v>
      </c>
      <c r="F8" s="28">
        <f t="shared" si="8"/>
        <v>6</v>
      </c>
      <c r="G8" s="24">
        <f t="shared" si="2"/>
        <v>30</v>
      </c>
      <c r="H8" s="30">
        <v>1320000.0</v>
      </c>
      <c r="I8" s="31">
        <f t="shared" si="3"/>
        <v>1200000</v>
      </c>
      <c r="J8" s="32">
        <f t="shared" si="4"/>
        <v>40000</v>
      </c>
      <c r="K8" s="33">
        <v>0.4</v>
      </c>
      <c r="L8" s="34">
        <f t="shared" si="5"/>
        <v>16000</v>
      </c>
      <c r="M8" s="35">
        <v>4.0</v>
      </c>
      <c r="N8" s="36">
        <f t="shared" si="6"/>
        <v>64000</v>
      </c>
      <c r="O8" s="37"/>
      <c r="P8" s="38"/>
      <c r="Q8" s="38"/>
      <c r="R8" s="31">
        <f t="shared" si="7"/>
        <v>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9">
        <v>9.0</v>
      </c>
      <c r="B9" s="25" t="s">
        <v>85</v>
      </c>
      <c r="C9" s="26" t="s">
        <v>5</v>
      </c>
      <c r="D9" s="27">
        <v>40.0</v>
      </c>
      <c r="E9" s="27">
        <v>37.0</v>
      </c>
      <c r="F9" s="28">
        <f t="shared" si="8"/>
        <v>3</v>
      </c>
      <c r="G9" s="24">
        <f t="shared" si="2"/>
        <v>40</v>
      </c>
      <c r="H9" s="30">
        <v>1760000.0</v>
      </c>
      <c r="I9" s="31">
        <f t="shared" si="3"/>
        <v>1600000</v>
      </c>
      <c r="J9" s="32">
        <f t="shared" si="4"/>
        <v>40000</v>
      </c>
      <c r="K9" s="33">
        <v>0.4</v>
      </c>
      <c r="L9" s="34">
        <f t="shared" si="5"/>
        <v>16000</v>
      </c>
      <c r="M9" s="35">
        <v>11.0</v>
      </c>
      <c r="N9" s="36">
        <f t="shared" si="6"/>
        <v>176000</v>
      </c>
      <c r="O9" s="37"/>
      <c r="P9" s="37"/>
      <c r="Q9" s="38"/>
      <c r="R9" s="31">
        <f t="shared" si="7"/>
        <v>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4">
        <v>11.0</v>
      </c>
      <c r="B10" s="79" t="s">
        <v>86</v>
      </c>
      <c r="C10" s="26" t="s">
        <v>5</v>
      </c>
      <c r="D10" s="27">
        <v>20.0</v>
      </c>
      <c r="E10" s="27">
        <v>20.0</v>
      </c>
      <c r="F10" s="28">
        <f t="shared" si="8"/>
        <v>0</v>
      </c>
      <c r="G10" s="24">
        <f t="shared" si="2"/>
        <v>20</v>
      </c>
      <c r="H10" s="30">
        <v>880000.0</v>
      </c>
      <c r="I10" s="31">
        <f t="shared" si="3"/>
        <v>800000</v>
      </c>
      <c r="J10" s="32">
        <f t="shared" si="4"/>
        <v>40000</v>
      </c>
      <c r="K10" s="33">
        <v>0.4</v>
      </c>
      <c r="L10" s="34">
        <f t="shared" si="5"/>
        <v>16000</v>
      </c>
      <c r="M10" s="35">
        <v>2.0</v>
      </c>
      <c r="N10" s="36">
        <f t="shared" si="6"/>
        <v>32000</v>
      </c>
      <c r="O10" s="37"/>
      <c r="P10" s="37"/>
      <c r="Q10" s="38"/>
      <c r="R10" s="31">
        <f t="shared" si="7"/>
        <v>0</v>
      </c>
      <c r="S10" s="46"/>
      <c r="T10" s="10"/>
      <c r="U10" s="47"/>
      <c r="V10" s="47"/>
      <c r="W10" s="10"/>
      <c r="X10" s="10"/>
      <c r="Y10" s="39"/>
      <c r="Z10" s="10"/>
    </row>
    <row r="11" ht="18.75" customHeight="1">
      <c r="A11" s="29">
        <v>12.0</v>
      </c>
      <c r="B11" s="25" t="s">
        <v>87</v>
      </c>
      <c r="C11" s="26" t="s">
        <v>5</v>
      </c>
      <c r="D11" s="27">
        <v>40.0</v>
      </c>
      <c r="E11" s="27">
        <v>10.0</v>
      </c>
      <c r="F11" s="28">
        <f t="shared" si="8"/>
        <v>30</v>
      </c>
      <c r="G11" s="24">
        <f t="shared" si="2"/>
        <v>40</v>
      </c>
      <c r="H11" s="30">
        <v>1760000.0</v>
      </c>
      <c r="I11" s="31">
        <f t="shared" si="3"/>
        <v>1600000</v>
      </c>
      <c r="J11" s="32">
        <f t="shared" si="4"/>
        <v>40000</v>
      </c>
      <c r="K11" s="33">
        <v>0.4</v>
      </c>
      <c r="L11" s="34">
        <f t="shared" si="5"/>
        <v>16000</v>
      </c>
      <c r="M11" s="35">
        <v>0.0</v>
      </c>
      <c r="N11" s="36">
        <f t="shared" si="6"/>
        <v>0</v>
      </c>
      <c r="O11" s="37"/>
      <c r="P11" s="38"/>
      <c r="Q11" s="38"/>
      <c r="R11" s="31">
        <f t="shared" si="7"/>
        <v>0</v>
      </c>
      <c r="S11" s="46"/>
      <c r="T11" s="10"/>
      <c r="U11" s="47"/>
      <c r="V11" s="47"/>
      <c r="W11" s="10"/>
      <c r="X11" s="10"/>
      <c r="Y11" s="39"/>
      <c r="Z11" s="10"/>
    </row>
    <row r="12" ht="18.75" customHeight="1">
      <c r="A12" s="29">
        <v>13.0</v>
      </c>
      <c r="B12" s="25" t="s">
        <v>88</v>
      </c>
      <c r="C12" s="26" t="s">
        <v>4</v>
      </c>
      <c r="D12" s="27">
        <v>20.0</v>
      </c>
      <c r="E12" s="27">
        <v>13.0</v>
      </c>
      <c r="F12" s="28">
        <f t="shared" si="8"/>
        <v>7</v>
      </c>
      <c r="G12" s="24">
        <f t="shared" si="2"/>
        <v>20</v>
      </c>
      <c r="H12" s="30">
        <v>880000.0</v>
      </c>
      <c r="I12" s="31">
        <f t="shared" si="3"/>
        <v>800000</v>
      </c>
      <c r="J12" s="32">
        <f t="shared" si="4"/>
        <v>40000</v>
      </c>
      <c r="K12" s="33">
        <v>0.4</v>
      </c>
      <c r="L12" s="34">
        <f t="shared" si="5"/>
        <v>16000</v>
      </c>
      <c r="M12" s="35">
        <v>0.0</v>
      </c>
      <c r="N12" s="36">
        <f t="shared" si="6"/>
        <v>0</v>
      </c>
      <c r="O12" s="37"/>
      <c r="P12" s="37"/>
      <c r="Q12" s="38"/>
      <c r="R12" s="31">
        <f t="shared" si="7"/>
        <v>0</v>
      </c>
      <c r="S12" s="46"/>
      <c r="T12" s="10"/>
      <c r="U12" s="47"/>
      <c r="V12" s="47"/>
      <c r="W12" s="10"/>
      <c r="X12" s="10"/>
      <c r="Y12" s="39"/>
      <c r="Z12" s="10"/>
    </row>
    <row r="13" ht="18.75" customHeight="1">
      <c r="A13" s="29">
        <v>14.0</v>
      </c>
      <c r="B13" s="25" t="s">
        <v>89</v>
      </c>
      <c r="C13" s="26" t="s">
        <v>4</v>
      </c>
      <c r="D13" s="27">
        <v>10.0</v>
      </c>
      <c r="E13" s="27">
        <v>6.0</v>
      </c>
      <c r="F13" s="28">
        <f t="shared" si="8"/>
        <v>4</v>
      </c>
      <c r="G13" s="24">
        <f t="shared" si="2"/>
        <v>10</v>
      </c>
      <c r="H13" s="30">
        <v>440000.0</v>
      </c>
      <c r="I13" s="31">
        <f t="shared" si="3"/>
        <v>400000</v>
      </c>
      <c r="J13" s="32">
        <f t="shared" si="4"/>
        <v>40000</v>
      </c>
      <c r="K13" s="33">
        <v>0.4</v>
      </c>
      <c r="L13" s="34">
        <f t="shared" si="5"/>
        <v>16000</v>
      </c>
      <c r="M13" s="35">
        <v>0.0</v>
      </c>
      <c r="N13" s="36">
        <f t="shared" si="6"/>
        <v>0</v>
      </c>
      <c r="O13" s="37"/>
      <c r="P13" s="37"/>
      <c r="Q13" s="38"/>
      <c r="R13" s="31">
        <f t="shared" si="7"/>
        <v>0</v>
      </c>
      <c r="S13" s="46"/>
      <c r="T13" s="10"/>
      <c r="U13" s="47"/>
      <c r="V13" s="47"/>
      <c r="W13" s="10"/>
      <c r="X13" s="10"/>
      <c r="Y13" s="39"/>
      <c r="Z13" s="10"/>
    </row>
    <row r="14" ht="18.75" customHeight="1">
      <c r="A14" s="29">
        <v>15.0</v>
      </c>
      <c r="B14" s="25" t="s">
        <v>90</v>
      </c>
      <c r="C14" s="26" t="s">
        <v>5</v>
      </c>
      <c r="D14" s="25">
        <v>10.0</v>
      </c>
      <c r="E14" s="25">
        <v>2.0</v>
      </c>
      <c r="F14" s="28">
        <f t="shared" si="8"/>
        <v>8</v>
      </c>
      <c r="G14" s="24">
        <f t="shared" si="2"/>
        <v>10</v>
      </c>
      <c r="H14" s="30">
        <v>440000.0</v>
      </c>
      <c r="I14" s="31">
        <f t="shared" si="3"/>
        <v>400000</v>
      </c>
      <c r="J14" s="32">
        <f t="shared" si="4"/>
        <v>40000</v>
      </c>
      <c r="K14" s="33">
        <v>0.4</v>
      </c>
      <c r="L14" s="34">
        <f t="shared" si="5"/>
        <v>16000</v>
      </c>
      <c r="M14" s="35">
        <v>0.0</v>
      </c>
      <c r="N14" s="36">
        <f t="shared" si="6"/>
        <v>0</v>
      </c>
      <c r="O14" s="37"/>
      <c r="P14" s="37"/>
      <c r="Q14" s="38"/>
      <c r="R14" s="31">
        <f t="shared" si="7"/>
        <v>0</v>
      </c>
      <c r="S14" s="46"/>
      <c r="T14" s="10"/>
      <c r="U14" s="47"/>
      <c r="V14" s="47"/>
      <c r="W14" s="10"/>
      <c r="X14" s="10"/>
      <c r="Y14" s="39"/>
      <c r="Z14" s="10"/>
    </row>
    <row r="15" ht="18.75" customHeight="1">
      <c r="A15" s="24">
        <v>16.0</v>
      </c>
      <c r="B15" s="25" t="s">
        <v>91</v>
      </c>
      <c r="C15" s="26" t="s">
        <v>5</v>
      </c>
      <c r="D15" s="26">
        <v>30.0</v>
      </c>
      <c r="E15" s="26">
        <v>28.0</v>
      </c>
      <c r="F15" s="28">
        <f t="shared" si="8"/>
        <v>2</v>
      </c>
      <c r="G15" s="24">
        <f t="shared" si="2"/>
        <v>30</v>
      </c>
      <c r="H15" s="30">
        <v>1320000.0</v>
      </c>
      <c r="I15" s="31">
        <f t="shared" si="3"/>
        <v>1200000</v>
      </c>
      <c r="J15" s="32">
        <f t="shared" si="4"/>
        <v>40000</v>
      </c>
      <c r="K15" s="33">
        <v>0.4</v>
      </c>
      <c r="L15" s="34">
        <f t="shared" si="5"/>
        <v>16000</v>
      </c>
      <c r="M15" s="35">
        <v>3.0</v>
      </c>
      <c r="N15" s="36">
        <f t="shared" si="6"/>
        <v>48000</v>
      </c>
      <c r="O15" s="37"/>
      <c r="P15" s="37"/>
      <c r="Q15" s="38"/>
      <c r="R15" s="31"/>
      <c r="S15" s="46"/>
      <c r="T15" s="10"/>
      <c r="U15" s="47"/>
      <c r="V15" s="47"/>
      <c r="W15" s="10"/>
      <c r="X15" s="10"/>
      <c r="Y15" s="39"/>
      <c r="Z15" s="10"/>
    </row>
    <row r="16" ht="18.75" customHeight="1">
      <c r="A16" s="29">
        <v>17.0</v>
      </c>
      <c r="B16" s="25" t="s">
        <v>92</v>
      </c>
      <c r="C16" s="26" t="s">
        <v>5</v>
      </c>
      <c r="D16" s="26">
        <v>10.0</v>
      </c>
      <c r="E16" s="26">
        <v>4.0</v>
      </c>
      <c r="F16" s="28">
        <f t="shared" si="8"/>
        <v>6</v>
      </c>
      <c r="G16" s="24">
        <f t="shared" si="2"/>
        <v>10</v>
      </c>
      <c r="H16" s="30">
        <v>440000.0</v>
      </c>
      <c r="I16" s="31">
        <f t="shared" si="3"/>
        <v>400000</v>
      </c>
      <c r="J16" s="32">
        <f t="shared" si="4"/>
        <v>40000</v>
      </c>
      <c r="K16" s="33">
        <v>0.4</v>
      </c>
      <c r="L16" s="34">
        <f t="shared" si="5"/>
        <v>16000</v>
      </c>
      <c r="M16" s="35">
        <v>0.0</v>
      </c>
      <c r="N16" s="36">
        <f t="shared" si="6"/>
        <v>0</v>
      </c>
      <c r="O16" s="37"/>
      <c r="P16" s="37"/>
      <c r="Q16" s="38"/>
      <c r="R16" s="31"/>
      <c r="S16" s="46"/>
      <c r="T16" s="10"/>
      <c r="U16" s="47"/>
      <c r="V16" s="47"/>
      <c r="W16" s="10"/>
      <c r="X16" s="10"/>
      <c r="Y16" s="39"/>
      <c r="Z16" s="10"/>
    </row>
    <row r="17" ht="18.75" customHeight="1">
      <c r="A17" s="29">
        <v>18.0</v>
      </c>
      <c r="B17" s="25" t="s">
        <v>93</v>
      </c>
      <c r="C17" s="27" t="s">
        <v>5</v>
      </c>
      <c r="D17" s="27">
        <v>10.0</v>
      </c>
      <c r="E17" s="27">
        <v>4.0</v>
      </c>
      <c r="F17" s="28">
        <f t="shared" si="8"/>
        <v>6</v>
      </c>
      <c r="G17" s="24">
        <f t="shared" si="2"/>
        <v>10</v>
      </c>
      <c r="H17" s="30">
        <v>440000.0</v>
      </c>
      <c r="I17" s="31">
        <f t="shared" si="3"/>
        <v>400000</v>
      </c>
      <c r="J17" s="32">
        <f t="shared" si="4"/>
        <v>40000</v>
      </c>
      <c r="K17" s="33">
        <v>0.4</v>
      </c>
      <c r="L17" s="34">
        <f t="shared" si="5"/>
        <v>16000</v>
      </c>
      <c r="M17" s="29">
        <v>0.0</v>
      </c>
      <c r="N17" s="36">
        <f t="shared" si="6"/>
        <v>0</v>
      </c>
      <c r="O17" s="37"/>
      <c r="P17" s="37"/>
      <c r="Q17" s="38"/>
      <c r="R17" s="31"/>
      <c r="S17" s="46"/>
      <c r="T17" s="10"/>
      <c r="U17" s="47"/>
      <c r="V17" s="47"/>
      <c r="W17" s="10"/>
      <c r="X17" s="10"/>
      <c r="Y17" s="39"/>
      <c r="Z17" s="10"/>
    </row>
    <row r="18" ht="18.75" customHeight="1">
      <c r="A18" s="29">
        <v>19.0</v>
      </c>
      <c r="B18" s="25" t="s">
        <v>94</v>
      </c>
      <c r="C18" s="27" t="s">
        <v>5</v>
      </c>
      <c r="D18" s="43">
        <v>60.0</v>
      </c>
      <c r="E18" s="43">
        <v>40.0</v>
      </c>
      <c r="F18" s="28">
        <f t="shared" si="8"/>
        <v>20</v>
      </c>
      <c r="G18" s="24">
        <f t="shared" si="2"/>
        <v>60</v>
      </c>
      <c r="H18" s="30">
        <v>2640000.0</v>
      </c>
      <c r="I18" s="31">
        <f t="shared" si="3"/>
        <v>2400000</v>
      </c>
      <c r="J18" s="32">
        <f t="shared" si="4"/>
        <v>40000</v>
      </c>
      <c r="K18" s="33">
        <v>0.4</v>
      </c>
      <c r="L18" s="34">
        <f t="shared" si="5"/>
        <v>16000</v>
      </c>
      <c r="M18" s="45">
        <v>6.0</v>
      </c>
      <c r="N18" s="36">
        <f t="shared" si="6"/>
        <v>96000</v>
      </c>
      <c r="O18" s="37"/>
      <c r="P18" s="37"/>
      <c r="Q18" s="38"/>
      <c r="R18" s="31"/>
      <c r="S18" s="46"/>
      <c r="T18" s="10"/>
      <c r="U18" s="47"/>
      <c r="V18" s="47"/>
      <c r="W18" s="10"/>
      <c r="X18" s="10"/>
      <c r="Y18" s="39"/>
      <c r="Z18" s="10"/>
    </row>
    <row r="19" ht="18.75" customHeight="1">
      <c r="A19" s="29">
        <v>20.0</v>
      </c>
      <c r="B19" s="25" t="s">
        <v>95</v>
      </c>
      <c r="C19" s="27" t="s">
        <v>5</v>
      </c>
      <c r="D19" s="43">
        <v>10.0</v>
      </c>
      <c r="E19" s="43">
        <v>3.0</v>
      </c>
      <c r="F19" s="28">
        <f t="shared" si="8"/>
        <v>7</v>
      </c>
      <c r="G19" s="24">
        <f t="shared" si="2"/>
        <v>10</v>
      </c>
      <c r="H19" s="30">
        <v>440000.0</v>
      </c>
      <c r="I19" s="31">
        <f t="shared" si="3"/>
        <v>400000</v>
      </c>
      <c r="J19" s="32">
        <f t="shared" si="4"/>
        <v>40000</v>
      </c>
      <c r="K19" s="33">
        <v>0.4</v>
      </c>
      <c r="L19" s="34">
        <f t="shared" si="5"/>
        <v>16000</v>
      </c>
      <c r="M19" s="45">
        <v>3.0</v>
      </c>
      <c r="N19" s="36">
        <f t="shared" si="6"/>
        <v>48000</v>
      </c>
      <c r="O19" s="37"/>
      <c r="P19" s="38"/>
      <c r="Q19" s="38"/>
      <c r="R19" s="31">
        <f>IF(P19="현금",Q19,Q19/1.1)</f>
        <v>0</v>
      </c>
      <c r="S19" s="46"/>
      <c r="T19" s="10"/>
      <c r="U19" s="47"/>
      <c r="V19" s="47"/>
      <c r="W19" s="10"/>
      <c r="X19" s="10"/>
      <c r="Y19" s="39"/>
      <c r="Z19" s="10"/>
    </row>
    <row r="20" ht="18.75" customHeight="1">
      <c r="A20" s="29">
        <v>22.0</v>
      </c>
      <c r="B20" s="25" t="s">
        <v>96</v>
      </c>
      <c r="C20" s="27" t="s">
        <v>4</v>
      </c>
      <c r="D20" s="27">
        <v>10.0</v>
      </c>
      <c r="E20" s="27">
        <v>10.0</v>
      </c>
      <c r="F20" s="28">
        <f t="shared" si="8"/>
        <v>0</v>
      </c>
      <c r="G20" s="24">
        <f t="shared" si="2"/>
        <v>10</v>
      </c>
      <c r="H20" s="30">
        <v>440000.0</v>
      </c>
      <c r="I20" s="31">
        <f t="shared" si="3"/>
        <v>400000</v>
      </c>
      <c r="J20" s="32">
        <f t="shared" si="4"/>
        <v>40000</v>
      </c>
      <c r="K20" s="33">
        <v>0.4</v>
      </c>
      <c r="L20" s="34">
        <f t="shared" si="5"/>
        <v>16000</v>
      </c>
      <c r="M20" s="45">
        <v>2.0</v>
      </c>
      <c r="N20" s="36">
        <f t="shared" si="6"/>
        <v>32000</v>
      </c>
      <c r="O20" s="53" t="s">
        <v>97</v>
      </c>
      <c r="P20" s="22"/>
      <c r="Q20" s="23"/>
      <c r="R20" s="51">
        <f>SUM(Q5:Q19)</f>
        <v>440000</v>
      </c>
      <c r="S20" s="46"/>
      <c r="T20" s="10"/>
      <c r="U20" s="47"/>
      <c r="V20" s="10"/>
      <c r="W20" s="10"/>
      <c r="X20" s="10"/>
      <c r="Y20" s="10"/>
      <c r="Z20" s="10"/>
    </row>
    <row r="21" ht="18.75" customHeight="1">
      <c r="A21" s="29">
        <v>23.0</v>
      </c>
      <c r="B21" s="25" t="s">
        <v>80</v>
      </c>
      <c r="C21" s="27" t="s">
        <v>4</v>
      </c>
      <c r="D21" s="27">
        <v>8.0</v>
      </c>
      <c r="E21" s="27">
        <v>0.0</v>
      </c>
      <c r="F21" s="28">
        <f t="shared" si="8"/>
        <v>8</v>
      </c>
      <c r="G21" s="24">
        <f t="shared" si="2"/>
        <v>8</v>
      </c>
      <c r="H21" s="30">
        <v>88500.0</v>
      </c>
      <c r="I21" s="31">
        <f t="shared" si="3"/>
        <v>80454.54545</v>
      </c>
      <c r="J21" s="32">
        <f t="shared" si="4"/>
        <v>10056.81818</v>
      </c>
      <c r="K21" s="33">
        <v>0.4</v>
      </c>
      <c r="L21" s="34">
        <f t="shared" si="5"/>
        <v>4022.727273</v>
      </c>
      <c r="M21" s="45">
        <v>0.0</v>
      </c>
      <c r="N21" s="36">
        <f t="shared" si="6"/>
        <v>0</v>
      </c>
      <c r="O21" s="53" t="s">
        <v>56</v>
      </c>
      <c r="P21" s="22"/>
      <c r="Q21" s="23"/>
      <c r="R21" s="54"/>
      <c r="S21" s="46"/>
      <c r="T21" s="10"/>
      <c r="U21" s="47"/>
      <c r="V21" s="10"/>
      <c r="W21" s="10"/>
      <c r="X21" s="10"/>
      <c r="Y21" s="10"/>
      <c r="Z21" s="10"/>
    </row>
    <row r="22" ht="18.75" customHeight="1">
      <c r="A22" s="29">
        <v>25.0</v>
      </c>
      <c r="B22" s="25" t="s">
        <v>98</v>
      </c>
      <c r="C22" s="27" t="s">
        <v>5</v>
      </c>
      <c r="D22" s="27">
        <v>50.0</v>
      </c>
      <c r="E22" s="27">
        <v>23.0</v>
      </c>
      <c r="F22" s="28">
        <f t="shared" si="8"/>
        <v>27</v>
      </c>
      <c r="G22" s="24">
        <f t="shared" si="2"/>
        <v>50</v>
      </c>
      <c r="H22" s="30">
        <v>2200000.0</v>
      </c>
      <c r="I22" s="31">
        <f t="shared" si="3"/>
        <v>2000000</v>
      </c>
      <c r="J22" s="32">
        <f t="shared" si="4"/>
        <v>40000</v>
      </c>
      <c r="K22" s="33">
        <v>0.4</v>
      </c>
      <c r="L22" s="34">
        <f t="shared" si="5"/>
        <v>16000</v>
      </c>
      <c r="M22" s="45">
        <v>6.0</v>
      </c>
      <c r="N22" s="36">
        <f t="shared" si="6"/>
        <v>96000</v>
      </c>
      <c r="O22" s="57" t="s">
        <v>60</v>
      </c>
      <c r="P22" s="2"/>
      <c r="Q22" s="3"/>
      <c r="R22" s="58">
        <v>900000.0</v>
      </c>
      <c r="S22" s="46"/>
      <c r="T22" s="39"/>
      <c r="U22" s="39"/>
      <c r="X22" s="39"/>
      <c r="Y22" s="10"/>
      <c r="Z22" s="10"/>
    </row>
    <row r="23" ht="18.75" customHeight="1">
      <c r="A23" s="24">
        <v>26.0</v>
      </c>
      <c r="B23" s="25" t="s">
        <v>99</v>
      </c>
      <c r="C23" s="27" t="s">
        <v>5</v>
      </c>
      <c r="D23" s="27">
        <v>10.0</v>
      </c>
      <c r="E23" s="27">
        <v>8.0</v>
      </c>
      <c r="F23" s="28">
        <f t="shared" si="8"/>
        <v>2</v>
      </c>
      <c r="G23" s="24">
        <f t="shared" si="2"/>
        <v>10</v>
      </c>
      <c r="H23" s="30">
        <v>440000.0</v>
      </c>
      <c r="I23" s="31">
        <f t="shared" si="3"/>
        <v>400000</v>
      </c>
      <c r="J23" s="32">
        <f t="shared" si="4"/>
        <v>40000</v>
      </c>
      <c r="K23" s="33">
        <v>0.4</v>
      </c>
      <c r="L23" s="34">
        <f t="shared" si="5"/>
        <v>16000</v>
      </c>
      <c r="M23" s="45">
        <v>0.0</v>
      </c>
      <c r="N23" s="36">
        <f t="shared" si="6"/>
        <v>0</v>
      </c>
      <c r="O23" s="59"/>
      <c r="P23" s="60"/>
      <c r="Q23" s="61"/>
      <c r="R23" s="62"/>
      <c r="S23" s="46"/>
      <c r="T23" s="39"/>
      <c r="U23" s="39"/>
      <c r="X23" s="39"/>
      <c r="Y23" s="10"/>
      <c r="Z23" s="10"/>
    </row>
    <row r="24" ht="18.75" customHeight="1">
      <c r="A24" s="29">
        <v>27.0</v>
      </c>
      <c r="B24" s="25" t="s">
        <v>100</v>
      </c>
      <c r="C24" s="27" t="s">
        <v>4</v>
      </c>
      <c r="D24" s="27">
        <v>40.0</v>
      </c>
      <c r="E24" s="27">
        <v>25.0</v>
      </c>
      <c r="F24" s="28">
        <f t="shared" si="8"/>
        <v>15</v>
      </c>
      <c r="G24" s="24">
        <f t="shared" si="2"/>
        <v>40</v>
      </c>
      <c r="H24" s="30">
        <v>1760000.0</v>
      </c>
      <c r="I24" s="31">
        <f t="shared" si="3"/>
        <v>1600000</v>
      </c>
      <c r="J24" s="32">
        <f t="shared" si="4"/>
        <v>40000</v>
      </c>
      <c r="K24" s="33">
        <v>0.4</v>
      </c>
      <c r="L24" s="34">
        <f t="shared" si="5"/>
        <v>16000</v>
      </c>
      <c r="M24" s="45">
        <v>6.0</v>
      </c>
      <c r="N24" s="36">
        <f t="shared" si="6"/>
        <v>96000</v>
      </c>
      <c r="O24" s="64" t="s">
        <v>62</v>
      </c>
      <c r="P24" s="22"/>
      <c r="Q24" s="23"/>
      <c r="R24" s="80">
        <f>SUMIF(N4:N34,"&gt;0",N4:N34)</f>
        <v>1376005.489</v>
      </c>
      <c r="S24" s="46"/>
      <c r="T24" s="39"/>
      <c r="U24" s="39"/>
      <c r="X24" s="39"/>
      <c r="Y24" s="10"/>
      <c r="Z24" s="10"/>
    </row>
    <row r="25" ht="18.75" customHeight="1">
      <c r="A25" s="29">
        <v>29.0</v>
      </c>
      <c r="B25" s="25" t="s">
        <v>101</v>
      </c>
      <c r="C25" s="27" t="s">
        <v>5</v>
      </c>
      <c r="D25" s="27">
        <v>20.0</v>
      </c>
      <c r="E25" s="27">
        <v>17.0</v>
      </c>
      <c r="F25" s="28">
        <f t="shared" si="8"/>
        <v>3</v>
      </c>
      <c r="G25" s="24">
        <f t="shared" si="2"/>
        <v>20</v>
      </c>
      <c r="H25" s="30">
        <v>880000.0</v>
      </c>
      <c r="I25" s="31">
        <f t="shared" si="3"/>
        <v>800000</v>
      </c>
      <c r="J25" s="32">
        <f t="shared" si="4"/>
        <v>40000</v>
      </c>
      <c r="K25" s="33">
        <v>0.4</v>
      </c>
      <c r="L25" s="34">
        <f t="shared" si="5"/>
        <v>16000</v>
      </c>
      <c r="M25" s="45">
        <v>5.0</v>
      </c>
      <c r="N25" s="36">
        <f t="shared" si="6"/>
        <v>80000</v>
      </c>
      <c r="O25" s="57" t="s">
        <v>63</v>
      </c>
      <c r="P25" s="2"/>
      <c r="Q25" s="3"/>
      <c r="R25" s="63">
        <f>R22+R24</f>
        <v>2276005.489</v>
      </c>
      <c r="S25" s="10"/>
      <c r="T25" s="10"/>
      <c r="U25" s="10"/>
      <c r="V25" s="10"/>
      <c r="W25" s="10"/>
      <c r="Y25" s="10"/>
      <c r="Z25" s="10"/>
    </row>
    <row r="26" ht="18.75" customHeight="1">
      <c r="A26" s="29">
        <v>30.0</v>
      </c>
      <c r="B26" s="25" t="s">
        <v>102</v>
      </c>
      <c r="C26" s="27" t="s">
        <v>5</v>
      </c>
      <c r="D26" s="27">
        <v>10.0</v>
      </c>
      <c r="E26" s="27">
        <v>6.0</v>
      </c>
      <c r="F26" s="28">
        <f t="shared" si="8"/>
        <v>4</v>
      </c>
      <c r="G26" s="24">
        <f t="shared" si="2"/>
        <v>10</v>
      </c>
      <c r="H26" s="30">
        <v>440000.0</v>
      </c>
      <c r="I26" s="31">
        <f t="shared" si="3"/>
        <v>400000</v>
      </c>
      <c r="J26" s="32">
        <f t="shared" si="4"/>
        <v>40000</v>
      </c>
      <c r="K26" s="33">
        <v>0.4</v>
      </c>
      <c r="L26" s="34">
        <f t="shared" si="5"/>
        <v>16000</v>
      </c>
      <c r="M26" s="45">
        <v>0.0</v>
      </c>
      <c r="N26" s="36">
        <f t="shared" si="6"/>
        <v>0</v>
      </c>
      <c r="O26" s="59"/>
      <c r="P26" s="60"/>
      <c r="Q26" s="61"/>
      <c r="R26" s="62"/>
      <c r="S26" s="10"/>
      <c r="T26" s="10"/>
      <c r="U26" s="10"/>
      <c r="V26" s="10"/>
      <c r="W26" s="10"/>
    </row>
    <row r="27" ht="18.75" customHeight="1">
      <c r="A27" s="24">
        <v>31.0</v>
      </c>
      <c r="B27" s="25" t="s">
        <v>103</v>
      </c>
      <c r="C27" s="27" t="s">
        <v>5</v>
      </c>
      <c r="D27" s="27">
        <v>20.0</v>
      </c>
      <c r="E27" s="27">
        <v>17.0</v>
      </c>
      <c r="F27" s="28">
        <f t="shared" si="8"/>
        <v>3</v>
      </c>
      <c r="G27" s="24">
        <f t="shared" si="2"/>
        <v>20</v>
      </c>
      <c r="H27" s="30">
        <v>880000.0</v>
      </c>
      <c r="I27" s="31">
        <f t="shared" si="3"/>
        <v>800000</v>
      </c>
      <c r="J27" s="32">
        <f t="shared" si="4"/>
        <v>40000</v>
      </c>
      <c r="K27" s="33">
        <v>0.4</v>
      </c>
      <c r="L27" s="34">
        <f t="shared" si="5"/>
        <v>16000</v>
      </c>
      <c r="M27" s="45">
        <v>4.0</v>
      </c>
      <c r="N27" s="36">
        <f t="shared" si="6"/>
        <v>64000</v>
      </c>
      <c r="O27" s="67" t="s">
        <v>104</v>
      </c>
      <c r="P27" s="22"/>
      <c r="Q27" s="22"/>
      <c r="R27" s="23"/>
      <c r="T27" s="10"/>
      <c r="U27" s="10"/>
      <c r="V27" s="10"/>
      <c r="W27" s="10"/>
    </row>
    <row r="28" ht="18.75" customHeight="1">
      <c r="A28" s="29">
        <v>33.0</v>
      </c>
      <c r="B28" s="25" t="s">
        <v>105</v>
      </c>
      <c r="C28" s="27" t="s">
        <v>5</v>
      </c>
      <c r="D28" s="27">
        <v>20.0</v>
      </c>
      <c r="E28" s="27">
        <v>19.0</v>
      </c>
      <c r="F28" s="28">
        <v>1.0</v>
      </c>
      <c r="G28" s="24">
        <f t="shared" si="2"/>
        <v>20</v>
      </c>
      <c r="H28" s="30">
        <v>880000.0</v>
      </c>
      <c r="I28" s="31">
        <f t="shared" si="3"/>
        <v>800000</v>
      </c>
      <c r="J28" s="32">
        <f t="shared" si="4"/>
        <v>40000</v>
      </c>
      <c r="K28" s="33">
        <v>0.4</v>
      </c>
      <c r="L28" s="34">
        <f t="shared" si="5"/>
        <v>16000</v>
      </c>
      <c r="M28" s="45">
        <v>4.0</v>
      </c>
      <c r="N28" s="36">
        <f t="shared" si="6"/>
        <v>64000</v>
      </c>
      <c r="O28" s="67" t="s">
        <v>106</v>
      </c>
      <c r="P28" s="22"/>
      <c r="Q28" s="22"/>
      <c r="R28" s="23"/>
      <c r="T28" s="10"/>
      <c r="U28" s="10"/>
      <c r="V28" s="10"/>
      <c r="W28" s="10"/>
    </row>
    <row r="29" ht="18.75" customHeight="1">
      <c r="A29" s="29">
        <v>33.0</v>
      </c>
      <c r="B29" s="25" t="s">
        <v>107</v>
      </c>
      <c r="C29" s="27" t="s">
        <v>5</v>
      </c>
      <c r="D29" s="27">
        <v>20.0</v>
      </c>
      <c r="E29" s="27">
        <v>19.0</v>
      </c>
      <c r="F29" s="28">
        <v>1.0</v>
      </c>
      <c r="G29" s="24">
        <f t="shared" si="2"/>
        <v>20</v>
      </c>
      <c r="H29" s="30">
        <v>880000.0</v>
      </c>
      <c r="I29" s="31">
        <f t="shared" si="3"/>
        <v>800000</v>
      </c>
      <c r="J29" s="32">
        <f t="shared" si="4"/>
        <v>40000</v>
      </c>
      <c r="K29" s="33">
        <v>0.4</v>
      </c>
      <c r="L29" s="34">
        <f t="shared" si="5"/>
        <v>16000</v>
      </c>
      <c r="M29" s="45">
        <v>7.0</v>
      </c>
      <c r="N29" s="36">
        <f t="shared" si="6"/>
        <v>112000</v>
      </c>
      <c r="O29" s="67" t="s">
        <v>108</v>
      </c>
      <c r="P29" s="22"/>
      <c r="Q29" s="22"/>
      <c r="R29" s="23"/>
      <c r="T29" s="10"/>
      <c r="U29" s="10"/>
      <c r="V29" s="10"/>
      <c r="W29" s="10"/>
    </row>
    <row r="30" ht="18.75" customHeight="1">
      <c r="A30" s="29">
        <v>33.0</v>
      </c>
      <c r="B30" s="25" t="s">
        <v>109</v>
      </c>
      <c r="C30" s="27" t="s">
        <v>5</v>
      </c>
      <c r="D30" s="27">
        <v>10.0</v>
      </c>
      <c r="E30" s="27">
        <v>7.0</v>
      </c>
      <c r="F30" s="28">
        <f>D30-E30</f>
        <v>3</v>
      </c>
      <c r="G30" s="24">
        <f t="shared" si="2"/>
        <v>10</v>
      </c>
      <c r="H30" s="30">
        <v>440000.0</v>
      </c>
      <c r="I30" s="31">
        <f t="shared" si="3"/>
        <v>400000</v>
      </c>
      <c r="J30" s="32">
        <f t="shared" si="4"/>
        <v>40000</v>
      </c>
      <c r="K30" s="33">
        <v>0.4</v>
      </c>
      <c r="L30" s="34">
        <f t="shared" si="5"/>
        <v>16000</v>
      </c>
      <c r="M30" s="45">
        <v>3.0</v>
      </c>
      <c r="N30" s="36">
        <f t="shared" si="6"/>
        <v>48000</v>
      </c>
      <c r="O30" s="67" t="s">
        <v>110</v>
      </c>
      <c r="P30" s="22"/>
      <c r="Q30" s="22"/>
      <c r="R30" s="23"/>
      <c r="T30" s="10"/>
      <c r="U30" s="10"/>
      <c r="V30" s="10"/>
      <c r="W30" s="10"/>
    </row>
    <row r="31" ht="18.75" customHeight="1">
      <c r="A31" s="29">
        <v>35.0</v>
      </c>
      <c r="B31" s="43"/>
      <c r="C31" s="27"/>
      <c r="D31" s="27"/>
      <c r="E31" s="27"/>
      <c r="F31" s="28"/>
      <c r="G31" s="24">
        <f t="shared" si="2"/>
        <v>0</v>
      </c>
      <c r="H31" s="30"/>
      <c r="I31" s="31"/>
      <c r="J31" s="32"/>
      <c r="K31" s="33"/>
      <c r="L31" s="34"/>
      <c r="M31" s="45"/>
      <c r="N31" s="36"/>
      <c r="O31" s="67" t="s">
        <v>111</v>
      </c>
      <c r="P31" s="22"/>
      <c r="Q31" s="22"/>
      <c r="R31" s="23"/>
      <c r="T31" s="10"/>
      <c r="U31" s="10"/>
      <c r="V31" s="10"/>
      <c r="W31" s="10"/>
    </row>
    <row r="32" ht="18.75" customHeight="1">
      <c r="A32" s="29"/>
      <c r="B32" s="43"/>
      <c r="C32" s="27"/>
      <c r="D32" s="27"/>
      <c r="E32" s="27"/>
      <c r="F32" s="28">
        <f t="shared" ref="F32:F34" si="9">D32-E32</f>
        <v>0</v>
      </c>
      <c r="G32" s="24">
        <f t="shared" si="2"/>
        <v>0</v>
      </c>
      <c r="H32" s="48"/>
      <c r="I32" s="31">
        <f t="shared" ref="I32:I34" si="10">IF(G32="현금",H32,H32/1.1)</f>
        <v>0</v>
      </c>
      <c r="J32" s="32" t="str">
        <f t="shared" ref="J32:J34" si="11">I32/D32</f>
        <v>#DIV/0!</v>
      </c>
      <c r="K32" s="33">
        <v>0.5</v>
      </c>
      <c r="L32" s="34" t="str">
        <f t="shared" ref="L32:L34" si="12">PRODUCT(K32,J32)</f>
        <v>#DIV/0!</v>
      </c>
      <c r="M32" s="81"/>
      <c r="N32" s="36" t="str">
        <f t="shared" ref="N32:N34" si="13">PRODUCT(M32,L32)</f>
        <v>#DIV/0!</v>
      </c>
      <c r="O32" s="67" t="s">
        <v>112</v>
      </c>
      <c r="P32" s="22"/>
      <c r="Q32" s="22"/>
      <c r="R32" s="23"/>
      <c r="T32" s="10"/>
      <c r="U32" s="10"/>
      <c r="V32" s="10"/>
      <c r="W32" s="10"/>
    </row>
    <row r="33" ht="18.75" customHeight="1">
      <c r="A33" s="29"/>
      <c r="B33" s="43"/>
      <c r="C33" s="27"/>
      <c r="D33" s="27"/>
      <c r="E33" s="27"/>
      <c r="F33" s="28">
        <f t="shared" si="9"/>
        <v>0</v>
      </c>
      <c r="G33" s="24">
        <f t="shared" si="2"/>
        <v>0</v>
      </c>
      <c r="H33" s="48"/>
      <c r="I33" s="31">
        <f t="shared" si="10"/>
        <v>0</v>
      </c>
      <c r="J33" s="32" t="str">
        <f t="shared" si="11"/>
        <v>#DIV/0!</v>
      </c>
      <c r="K33" s="33">
        <v>0.5</v>
      </c>
      <c r="L33" s="34" t="str">
        <f t="shared" si="12"/>
        <v>#DIV/0!</v>
      </c>
      <c r="M33" s="81"/>
      <c r="N33" s="36" t="str">
        <f t="shared" si="13"/>
        <v>#DIV/0!</v>
      </c>
      <c r="O33" s="67" t="s">
        <v>113</v>
      </c>
      <c r="P33" s="22"/>
      <c r="Q33" s="22"/>
      <c r="R33" s="23"/>
      <c r="T33" s="10"/>
      <c r="U33" s="10"/>
      <c r="V33" s="10"/>
      <c r="W33" s="10"/>
      <c r="X33" s="10"/>
      <c r="Y33" s="10"/>
      <c r="Z33" s="10"/>
    </row>
    <row r="34" ht="18.75" customHeight="1">
      <c r="A34" s="29"/>
      <c r="B34" s="43"/>
      <c r="C34" s="27"/>
      <c r="D34" s="27"/>
      <c r="E34" s="27"/>
      <c r="F34" s="28">
        <f t="shared" si="9"/>
        <v>0</v>
      </c>
      <c r="G34" s="24">
        <f t="shared" si="2"/>
        <v>0</v>
      </c>
      <c r="H34" s="48"/>
      <c r="I34" s="31">
        <f t="shared" si="10"/>
        <v>0</v>
      </c>
      <c r="J34" s="32" t="str">
        <f t="shared" si="11"/>
        <v>#DIV/0!</v>
      </c>
      <c r="K34" s="33">
        <v>0.5</v>
      </c>
      <c r="L34" s="34" t="str">
        <f t="shared" si="12"/>
        <v>#DIV/0!</v>
      </c>
      <c r="M34" s="81"/>
      <c r="N34" s="36" t="str">
        <f t="shared" si="13"/>
        <v>#DIV/0!</v>
      </c>
      <c r="O34" s="67" t="s">
        <v>114</v>
      </c>
      <c r="P34" s="22"/>
      <c r="Q34" s="22"/>
      <c r="R34" s="23"/>
      <c r="T34" s="10"/>
      <c r="U34" s="10"/>
      <c r="V34" s="10"/>
      <c r="W34" s="10"/>
      <c r="X34" s="10"/>
      <c r="Y34" s="10"/>
      <c r="Z34" s="10"/>
    </row>
    <row r="35" ht="16.5" customHeight="1">
      <c r="A35" s="6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68"/>
      <c r="B37" s="68"/>
      <c r="C37" s="68"/>
      <c r="D37" s="68"/>
      <c r="E37" s="68"/>
      <c r="G37" s="68"/>
      <c r="H37" s="68"/>
      <c r="I37" s="68"/>
      <c r="J37" s="68"/>
      <c r="K37" s="68"/>
      <c r="L37" s="68"/>
      <c r="M37" s="68"/>
      <c r="N37" s="6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68"/>
      <c r="C38" s="68"/>
      <c r="D38" s="68"/>
      <c r="E38" s="68"/>
      <c r="G38" s="68"/>
      <c r="H38" s="68"/>
      <c r="I38" s="68"/>
      <c r="J38" s="68"/>
      <c r="K38" s="68"/>
      <c r="L38" s="68"/>
      <c r="M38" s="68"/>
      <c r="N38" s="6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68"/>
      <c r="B42" s="68"/>
      <c r="C42" s="68"/>
      <c r="E42" s="68"/>
      <c r="G42" s="68"/>
      <c r="H42" s="68"/>
      <c r="I42" s="68"/>
      <c r="J42" s="68"/>
      <c r="K42" s="68"/>
      <c r="L42" s="68"/>
      <c r="M42" s="68"/>
      <c r="N42" s="6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C43" s="68"/>
      <c r="D43" s="68"/>
      <c r="G43" s="68"/>
      <c r="H43" s="68"/>
      <c r="I43" s="68"/>
      <c r="J43" s="68"/>
      <c r="K43" s="68"/>
      <c r="L43" s="68"/>
      <c r="M43" s="68"/>
      <c r="N43" s="6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B44" s="68"/>
      <c r="C44" s="68"/>
      <c r="D44" s="68"/>
      <c r="E44" s="68"/>
      <c r="G44" s="68"/>
      <c r="H44" s="68"/>
      <c r="I44" s="68"/>
      <c r="J44" s="68"/>
      <c r="K44" s="68"/>
      <c r="L44" s="68"/>
      <c r="M44" s="68"/>
      <c r="N44" s="6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0">
    <mergeCell ref="A1:H2"/>
    <mergeCell ref="O3:R3"/>
    <mergeCell ref="O20:Q20"/>
    <mergeCell ref="O21:Q21"/>
    <mergeCell ref="R22:R23"/>
    <mergeCell ref="U22:W22"/>
    <mergeCell ref="U23:W23"/>
    <mergeCell ref="O22:Q23"/>
    <mergeCell ref="O24:Q24"/>
    <mergeCell ref="U24:W24"/>
    <mergeCell ref="O25:Q26"/>
    <mergeCell ref="R25:R26"/>
    <mergeCell ref="O27:R27"/>
    <mergeCell ref="O28:R28"/>
    <mergeCell ref="O29:R29"/>
    <mergeCell ref="O30:R30"/>
    <mergeCell ref="O31:R31"/>
    <mergeCell ref="O32:R32"/>
    <mergeCell ref="O33:R33"/>
    <mergeCell ref="O34:R34"/>
    <mergeCell ref="A35:N35"/>
    <mergeCell ref="A42:A44"/>
    <mergeCell ref="A46:B46"/>
    <mergeCell ref="A37:A38"/>
    <mergeCell ref="E37:F37"/>
    <mergeCell ref="E38:F38"/>
    <mergeCell ref="B42:B43"/>
    <mergeCell ref="C42:D42"/>
    <mergeCell ref="E42:F43"/>
    <mergeCell ref="E44:F44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115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13</v>
      </c>
      <c r="L2" s="14">
        <f>COUNTIFS(C4:C45,"남")</f>
        <v>5</v>
      </c>
      <c r="M2" s="14">
        <f>COUNTIFS(C4:C45,"여")</f>
        <v>8</v>
      </c>
      <c r="N2" s="15">
        <f>AVERAGEIF(J4:J44,"&gt;0",J4:J44)</f>
        <v>40000</v>
      </c>
      <c r="O2" s="16">
        <f>SUM(M4:M45)</f>
        <v>69</v>
      </c>
      <c r="P2" s="17">
        <f>SUM(F4:F45)</f>
        <v>118</v>
      </c>
      <c r="Q2" s="18">
        <v>5720000.0</v>
      </c>
      <c r="R2" s="18">
        <v>5200000.0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69" t="s">
        <v>116</v>
      </c>
      <c r="C4" s="70" t="s">
        <v>5</v>
      </c>
      <c r="D4" s="71">
        <v>10.0</v>
      </c>
      <c r="E4" s="71">
        <v>8.0</v>
      </c>
      <c r="F4" s="72">
        <v>2.0</v>
      </c>
      <c r="G4" s="24" t="s">
        <v>117</v>
      </c>
      <c r="H4" s="82">
        <v>440000.0</v>
      </c>
      <c r="I4" s="83">
        <f t="shared" ref="I4:I20" si="1">IF(G4="현금",H4,H4/1.1)</f>
        <v>400000</v>
      </c>
      <c r="J4" s="74">
        <v>40000.0</v>
      </c>
      <c r="K4" s="33">
        <v>0.45</v>
      </c>
      <c r="L4" s="84">
        <f t="shared" ref="L4:L20" si="2">PRODUCT(K4,J4)</f>
        <v>18000</v>
      </c>
      <c r="M4" s="76">
        <v>7.0</v>
      </c>
      <c r="N4" s="36">
        <f t="shared" ref="N4:N20" si="3">PRODUCT(M4,L4)</f>
        <v>126000</v>
      </c>
      <c r="O4" s="78" t="s">
        <v>76</v>
      </c>
      <c r="P4" s="78" t="s">
        <v>77</v>
      </c>
      <c r="Q4" s="78" t="s">
        <v>78</v>
      </c>
      <c r="R4" s="78" t="s">
        <v>79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9">
        <v>2.0</v>
      </c>
      <c r="B5" s="25" t="s">
        <v>118</v>
      </c>
      <c r="C5" s="26" t="s">
        <v>4</v>
      </c>
      <c r="D5" s="27">
        <v>50.0</v>
      </c>
      <c r="E5" s="85">
        <v>36.0</v>
      </c>
      <c r="F5" s="86">
        <v>14.0</v>
      </c>
      <c r="G5" s="29" t="s">
        <v>28</v>
      </c>
      <c r="H5" s="87">
        <v>2200000.0</v>
      </c>
      <c r="I5" s="83">
        <f t="shared" si="1"/>
        <v>2000000</v>
      </c>
      <c r="J5" s="32">
        <f t="shared" ref="J5:J6" si="4">I5/D5</f>
        <v>40000</v>
      </c>
      <c r="K5" s="33">
        <v>0.45</v>
      </c>
      <c r="L5" s="88">
        <f t="shared" si="2"/>
        <v>18000</v>
      </c>
      <c r="M5" s="35">
        <v>7.0</v>
      </c>
      <c r="N5" s="36">
        <f t="shared" si="3"/>
        <v>126000</v>
      </c>
      <c r="O5" s="37" t="s">
        <v>116</v>
      </c>
      <c r="P5" s="38">
        <v>10.0</v>
      </c>
      <c r="Q5" s="38">
        <v>440000.0</v>
      </c>
      <c r="R5" s="31">
        <f t="shared" ref="R5:R27" si="5">IF(P5="현금",Q5,Q5/1.1)</f>
        <v>400000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9">
        <v>3.0</v>
      </c>
      <c r="B6" s="25" t="s">
        <v>119</v>
      </c>
      <c r="C6" s="26" t="s">
        <v>5</v>
      </c>
      <c r="D6" s="27">
        <v>30.0</v>
      </c>
      <c r="E6" s="27">
        <v>30.0</v>
      </c>
      <c r="F6" s="28">
        <f t="shared" ref="F6:F20" si="6">D6-E6</f>
        <v>0</v>
      </c>
      <c r="G6" s="29" t="s">
        <v>28</v>
      </c>
      <c r="H6" s="87">
        <v>1320000.0</v>
      </c>
      <c r="I6" s="83">
        <f t="shared" si="1"/>
        <v>1200000</v>
      </c>
      <c r="J6" s="32">
        <f t="shared" si="4"/>
        <v>40000</v>
      </c>
      <c r="K6" s="33">
        <v>0.45</v>
      </c>
      <c r="L6" s="88">
        <f t="shared" si="2"/>
        <v>18000</v>
      </c>
      <c r="M6" s="35">
        <v>4.0</v>
      </c>
      <c r="N6" s="36">
        <f t="shared" si="3"/>
        <v>72000</v>
      </c>
      <c r="O6" s="37" t="s">
        <v>120</v>
      </c>
      <c r="P6" s="38">
        <v>30.0</v>
      </c>
      <c r="Q6" s="38">
        <v>1320000.0</v>
      </c>
      <c r="R6" s="31">
        <f t="shared" si="5"/>
        <v>1200000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9">
        <v>4.0</v>
      </c>
      <c r="B7" s="25" t="s">
        <v>121</v>
      </c>
      <c r="C7" s="26" t="s">
        <v>5</v>
      </c>
      <c r="D7" s="85">
        <v>30.0</v>
      </c>
      <c r="E7" s="85">
        <v>24.0</v>
      </c>
      <c r="F7" s="28">
        <f t="shared" si="6"/>
        <v>6</v>
      </c>
      <c r="G7" s="29" t="s">
        <v>28</v>
      </c>
      <c r="H7" s="87">
        <v>880000.0</v>
      </c>
      <c r="I7" s="83">
        <f t="shared" si="1"/>
        <v>800000</v>
      </c>
      <c r="J7" s="32">
        <v>40000.0</v>
      </c>
      <c r="K7" s="33">
        <v>0.45</v>
      </c>
      <c r="L7" s="88">
        <f t="shared" si="2"/>
        <v>18000</v>
      </c>
      <c r="M7" s="35">
        <v>5.0</v>
      </c>
      <c r="N7" s="36">
        <f t="shared" si="3"/>
        <v>90000</v>
      </c>
      <c r="O7" s="40" t="s">
        <v>122</v>
      </c>
      <c r="P7" s="38">
        <v>20.0</v>
      </c>
      <c r="Q7" s="38">
        <v>880000.0</v>
      </c>
      <c r="R7" s="31">
        <f t="shared" si="5"/>
        <v>800000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9">
        <v>5.0</v>
      </c>
      <c r="B8" s="25" t="s">
        <v>122</v>
      </c>
      <c r="C8" s="26" t="s">
        <v>5</v>
      </c>
      <c r="D8" s="27">
        <v>20.0</v>
      </c>
      <c r="E8" s="27">
        <v>18.0</v>
      </c>
      <c r="F8" s="28">
        <f t="shared" si="6"/>
        <v>2</v>
      </c>
      <c r="G8" s="29" t="s">
        <v>28</v>
      </c>
      <c r="H8" s="87">
        <v>880000.0</v>
      </c>
      <c r="I8" s="83">
        <f t="shared" si="1"/>
        <v>800000</v>
      </c>
      <c r="J8" s="32">
        <f t="shared" ref="J8:J10" si="7">I8/D8</f>
        <v>40000</v>
      </c>
      <c r="K8" s="33">
        <v>0.45</v>
      </c>
      <c r="L8" s="88">
        <f t="shared" si="2"/>
        <v>18000</v>
      </c>
      <c r="M8" s="35">
        <v>9.0</v>
      </c>
      <c r="N8" s="36">
        <f t="shared" si="3"/>
        <v>162000</v>
      </c>
      <c r="O8" s="37" t="s">
        <v>123</v>
      </c>
      <c r="P8" s="38">
        <v>20.0</v>
      </c>
      <c r="Q8" s="38">
        <v>880000.0</v>
      </c>
      <c r="R8" s="31">
        <f t="shared" si="5"/>
        <v>800000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9">
        <v>6.0</v>
      </c>
      <c r="B9" s="25" t="s">
        <v>124</v>
      </c>
      <c r="C9" s="26" t="s">
        <v>4</v>
      </c>
      <c r="D9" s="27">
        <v>20.0</v>
      </c>
      <c r="E9" s="27">
        <v>15.0</v>
      </c>
      <c r="F9" s="28">
        <f t="shared" si="6"/>
        <v>5</v>
      </c>
      <c r="G9" s="29" t="s">
        <v>28</v>
      </c>
      <c r="H9" s="87">
        <v>880000.0</v>
      </c>
      <c r="I9" s="83">
        <f t="shared" si="1"/>
        <v>800000</v>
      </c>
      <c r="J9" s="32">
        <f t="shared" si="7"/>
        <v>40000</v>
      </c>
      <c r="K9" s="33">
        <v>0.45</v>
      </c>
      <c r="L9" s="88">
        <f t="shared" si="2"/>
        <v>18000</v>
      </c>
      <c r="M9" s="35">
        <v>3.0</v>
      </c>
      <c r="N9" s="36">
        <f t="shared" si="3"/>
        <v>54000</v>
      </c>
      <c r="O9" s="37" t="s">
        <v>125</v>
      </c>
      <c r="P9" s="38">
        <v>30.0</v>
      </c>
      <c r="Q9" s="42">
        <v>1320000.0</v>
      </c>
      <c r="R9" s="31">
        <f t="shared" si="5"/>
        <v>1200000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9">
        <v>7.0</v>
      </c>
      <c r="B10" s="25" t="s">
        <v>123</v>
      </c>
      <c r="C10" s="26" t="s">
        <v>5</v>
      </c>
      <c r="D10" s="27">
        <v>20.0</v>
      </c>
      <c r="E10" s="27">
        <v>2.0</v>
      </c>
      <c r="F10" s="28">
        <f t="shared" si="6"/>
        <v>18</v>
      </c>
      <c r="G10" s="29" t="s">
        <v>28</v>
      </c>
      <c r="H10" s="87">
        <v>880000.0</v>
      </c>
      <c r="I10" s="83">
        <f t="shared" si="1"/>
        <v>800000</v>
      </c>
      <c r="J10" s="32">
        <f t="shared" si="7"/>
        <v>40000</v>
      </c>
      <c r="K10" s="33">
        <v>0.45</v>
      </c>
      <c r="L10" s="88">
        <f t="shared" si="2"/>
        <v>18000</v>
      </c>
      <c r="M10" s="35">
        <v>12.0</v>
      </c>
      <c r="N10" s="36">
        <f t="shared" si="3"/>
        <v>216000</v>
      </c>
      <c r="O10" s="37" t="s">
        <v>121</v>
      </c>
      <c r="P10" s="38">
        <v>10.0</v>
      </c>
      <c r="Q10" s="38">
        <v>440000.0</v>
      </c>
      <c r="R10" s="31">
        <f t="shared" si="5"/>
        <v>400000</v>
      </c>
      <c r="S10" s="10"/>
      <c r="T10" s="10"/>
      <c r="U10" s="10"/>
      <c r="V10" s="10"/>
      <c r="W10" s="10"/>
      <c r="X10" s="10"/>
      <c r="Y10" s="39"/>
      <c r="Z10" s="10"/>
    </row>
    <row r="11" ht="18.75" customHeight="1">
      <c r="A11" s="29">
        <v>8.0</v>
      </c>
      <c r="B11" s="25" t="s">
        <v>125</v>
      </c>
      <c r="C11" s="26" t="s">
        <v>4</v>
      </c>
      <c r="D11" s="27">
        <v>30.0</v>
      </c>
      <c r="E11" s="27">
        <v>5.0</v>
      </c>
      <c r="F11" s="28">
        <f t="shared" si="6"/>
        <v>25</v>
      </c>
      <c r="G11" s="29" t="s">
        <v>117</v>
      </c>
      <c r="H11" s="87">
        <v>880000.0</v>
      </c>
      <c r="I11" s="83">
        <f t="shared" si="1"/>
        <v>800000</v>
      </c>
      <c r="J11" s="32">
        <v>40000.0</v>
      </c>
      <c r="K11" s="33">
        <v>0.45</v>
      </c>
      <c r="L11" s="88">
        <f t="shared" si="2"/>
        <v>18000</v>
      </c>
      <c r="M11" s="35">
        <v>6.0</v>
      </c>
      <c r="N11" s="36">
        <f t="shared" si="3"/>
        <v>108000</v>
      </c>
      <c r="O11" s="37" t="s">
        <v>126</v>
      </c>
      <c r="P11" s="38">
        <v>10.0</v>
      </c>
      <c r="Q11" s="42">
        <v>440000.0</v>
      </c>
      <c r="R11" s="31">
        <f t="shared" si="5"/>
        <v>400000</v>
      </c>
      <c r="S11" s="10"/>
      <c r="T11" s="10"/>
      <c r="U11" s="10"/>
      <c r="V11" s="10"/>
      <c r="W11" s="10"/>
      <c r="X11" s="10"/>
      <c r="Y11" s="39"/>
      <c r="Z11" s="10"/>
    </row>
    <row r="12" ht="18.75" customHeight="1">
      <c r="A12" s="29">
        <v>9.0</v>
      </c>
      <c r="B12" s="25" t="s">
        <v>120</v>
      </c>
      <c r="C12" s="26" t="s">
        <v>4</v>
      </c>
      <c r="D12" s="27">
        <v>30.0</v>
      </c>
      <c r="E12" s="27">
        <v>5.0</v>
      </c>
      <c r="F12" s="28">
        <f t="shared" si="6"/>
        <v>25</v>
      </c>
      <c r="G12" s="29" t="s">
        <v>28</v>
      </c>
      <c r="H12" s="87">
        <v>880000.0</v>
      </c>
      <c r="I12" s="83">
        <f t="shared" si="1"/>
        <v>800000</v>
      </c>
      <c r="J12" s="32">
        <v>40000.0</v>
      </c>
      <c r="K12" s="33">
        <v>0.45</v>
      </c>
      <c r="L12" s="88">
        <f t="shared" si="2"/>
        <v>18000</v>
      </c>
      <c r="M12" s="35">
        <v>9.0</v>
      </c>
      <c r="N12" s="36">
        <f t="shared" si="3"/>
        <v>162000</v>
      </c>
      <c r="O12" s="37"/>
      <c r="P12" s="37"/>
      <c r="Q12" s="38"/>
      <c r="R12" s="31">
        <f t="shared" si="5"/>
        <v>0</v>
      </c>
      <c r="S12" s="10"/>
      <c r="T12" s="10"/>
      <c r="U12" s="10"/>
      <c r="V12" s="10"/>
      <c r="W12" s="10"/>
      <c r="X12" s="10"/>
      <c r="Y12" s="39"/>
      <c r="Z12" s="10"/>
    </row>
    <row r="13" ht="18.75" customHeight="1">
      <c r="A13" s="29">
        <v>10.0</v>
      </c>
      <c r="B13" s="25" t="s">
        <v>127</v>
      </c>
      <c r="C13" s="26" t="s">
        <v>5</v>
      </c>
      <c r="D13" s="27">
        <v>10.0</v>
      </c>
      <c r="E13" s="27">
        <v>3.0</v>
      </c>
      <c r="F13" s="28">
        <f t="shared" si="6"/>
        <v>7</v>
      </c>
      <c r="G13" s="29" t="s">
        <v>28</v>
      </c>
      <c r="H13" s="30">
        <v>440000.0</v>
      </c>
      <c r="I13" s="31">
        <f t="shared" si="1"/>
        <v>400000</v>
      </c>
      <c r="J13" s="32">
        <f t="shared" ref="J13:J15" si="8">I13/D13</f>
        <v>40000</v>
      </c>
      <c r="K13" s="33">
        <v>0.45</v>
      </c>
      <c r="L13" s="34">
        <f t="shared" si="2"/>
        <v>18000</v>
      </c>
      <c r="M13" s="35">
        <v>1.0</v>
      </c>
      <c r="N13" s="36">
        <f t="shared" si="3"/>
        <v>18000</v>
      </c>
      <c r="O13" s="37"/>
      <c r="P13" s="37"/>
      <c r="Q13" s="38"/>
      <c r="R13" s="31">
        <f t="shared" si="5"/>
        <v>0</v>
      </c>
      <c r="S13" s="46"/>
      <c r="T13" s="10"/>
      <c r="U13" s="47"/>
      <c r="V13" s="47"/>
      <c r="W13" s="10"/>
      <c r="X13" s="10"/>
      <c r="Y13" s="39"/>
      <c r="Z13" s="10"/>
    </row>
    <row r="14" ht="18.75" customHeight="1">
      <c r="A14" s="29">
        <v>11.0</v>
      </c>
      <c r="B14" s="25" t="s">
        <v>128</v>
      </c>
      <c r="C14" s="26" t="s">
        <v>5</v>
      </c>
      <c r="D14" s="27">
        <v>20.0</v>
      </c>
      <c r="E14" s="85">
        <v>15.0</v>
      </c>
      <c r="F14" s="28">
        <f t="shared" si="6"/>
        <v>5</v>
      </c>
      <c r="G14" s="29" t="s">
        <v>28</v>
      </c>
      <c r="H14" s="30">
        <v>880000.0</v>
      </c>
      <c r="I14" s="31">
        <f t="shared" si="1"/>
        <v>800000</v>
      </c>
      <c r="J14" s="32">
        <f t="shared" si="8"/>
        <v>40000</v>
      </c>
      <c r="K14" s="33">
        <v>0.45</v>
      </c>
      <c r="L14" s="34">
        <f t="shared" si="2"/>
        <v>18000</v>
      </c>
      <c r="M14" s="35">
        <v>5.0</v>
      </c>
      <c r="N14" s="36">
        <f t="shared" si="3"/>
        <v>90000</v>
      </c>
      <c r="O14" s="37"/>
      <c r="P14" s="37"/>
      <c r="Q14" s="38"/>
      <c r="R14" s="31">
        <f t="shared" si="5"/>
        <v>0</v>
      </c>
      <c r="S14" s="46"/>
      <c r="T14" s="10"/>
      <c r="U14" s="47"/>
      <c r="V14" s="10"/>
      <c r="W14" s="10"/>
      <c r="X14" s="10"/>
      <c r="Y14" s="39"/>
      <c r="Z14" s="10"/>
    </row>
    <row r="15" ht="18.75" customHeight="1">
      <c r="A15" s="29">
        <v>12.0</v>
      </c>
      <c r="B15" s="41" t="s">
        <v>129</v>
      </c>
      <c r="C15" s="26" t="s">
        <v>5</v>
      </c>
      <c r="D15" s="27">
        <v>5.0</v>
      </c>
      <c r="E15" s="27">
        <v>5.0</v>
      </c>
      <c r="F15" s="28">
        <f t="shared" si="6"/>
        <v>0</v>
      </c>
      <c r="G15" s="29" t="s">
        <v>28</v>
      </c>
      <c r="H15" s="30">
        <v>220000.0</v>
      </c>
      <c r="I15" s="31">
        <f t="shared" si="1"/>
        <v>200000</v>
      </c>
      <c r="J15" s="32">
        <f t="shared" si="8"/>
        <v>40000</v>
      </c>
      <c r="K15" s="33">
        <v>0.45</v>
      </c>
      <c r="L15" s="34">
        <f t="shared" si="2"/>
        <v>18000</v>
      </c>
      <c r="M15" s="35">
        <v>0.0</v>
      </c>
      <c r="N15" s="36">
        <f t="shared" si="3"/>
        <v>0</v>
      </c>
      <c r="O15" s="37"/>
      <c r="P15" s="37"/>
      <c r="Q15" s="38"/>
      <c r="R15" s="31">
        <f t="shared" si="5"/>
        <v>0</v>
      </c>
      <c r="S15" s="46"/>
      <c r="T15" s="10"/>
      <c r="U15" s="47"/>
      <c r="V15" s="47"/>
      <c r="W15" s="10"/>
      <c r="X15" s="10"/>
      <c r="Y15" s="39"/>
      <c r="Z15" s="10"/>
    </row>
    <row r="16" ht="18.75" customHeight="1">
      <c r="A16" s="29">
        <v>13.0</v>
      </c>
      <c r="B16" s="41" t="s">
        <v>126</v>
      </c>
      <c r="C16" s="26" t="s">
        <v>4</v>
      </c>
      <c r="D16" s="27">
        <v>10.0</v>
      </c>
      <c r="E16" s="27">
        <v>1.0</v>
      </c>
      <c r="F16" s="28">
        <f t="shared" si="6"/>
        <v>9</v>
      </c>
      <c r="G16" s="29" t="s">
        <v>28</v>
      </c>
      <c r="H16" s="30">
        <v>440000.0</v>
      </c>
      <c r="I16" s="31">
        <f t="shared" si="1"/>
        <v>400000</v>
      </c>
      <c r="J16" s="32">
        <v>40000.0</v>
      </c>
      <c r="K16" s="33">
        <v>0.45</v>
      </c>
      <c r="L16" s="34">
        <f t="shared" si="2"/>
        <v>18000</v>
      </c>
      <c r="M16" s="35">
        <v>1.0</v>
      </c>
      <c r="N16" s="36">
        <f t="shared" si="3"/>
        <v>18000</v>
      </c>
      <c r="O16" s="37"/>
      <c r="P16" s="37"/>
      <c r="Q16" s="38"/>
      <c r="R16" s="31">
        <f t="shared" si="5"/>
        <v>0</v>
      </c>
      <c r="S16" s="46"/>
      <c r="T16" s="10"/>
      <c r="U16" s="47"/>
      <c r="V16" s="10"/>
      <c r="W16" s="10"/>
      <c r="X16" s="10"/>
      <c r="Y16" s="39"/>
      <c r="Z16" s="10"/>
    </row>
    <row r="17" ht="18.75" customHeight="1">
      <c r="A17" s="29">
        <v>14.0</v>
      </c>
      <c r="B17" s="41"/>
      <c r="C17" s="26"/>
      <c r="D17" s="27"/>
      <c r="E17" s="27"/>
      <c r="F17" s="28">
        <f t="shared" si="6"/>
        <v>0</v>
      </c>
      <c r="G17" s="29"/>
      <c r="H17" s="30"/>
      <c r="I17" s="31">
        <f t="shared" si="1"/>
        <v>0</v>
      </c>
      <c r="J17" s="32" t="str">
        <f t="shared" ref="J17:J20" si="9">I17/D17</f>
        <v>#DIV/0!</v>
      </c>
      <c r="K17" s="33">
        <v>0.45</v>
      </c>
      <c r="L17" s="34" t="str">
        <f t="shared" si="2"/>
        <v>#DIV/0!</v>
      </c>
      <c r="M17" s="35"/>
      <c r="N17" s="36" t="str">
        <f t="shared" si="3"/>
        <v>#DIV/0!</v>
      </c>
      <c r="O17" s="37"/>
      <c r="P17" s="37"/>
      <c r="Q17" s="38"/>
      <c r="R17" s="31">
        <f t="shared" si="5"/>
        <v>0</v>
      </c>
      <c r="S17" s="46"/>
      <c r="T17" s="10"/>
      <c r="U17" s="47"/>
      <c r="V17" s="47"/>
      <c r="W17" s="10"/>
      <c r="X17" s="10"/>
      <c r="Y17" s="39"/>
      <c r="Z17" s="10"/>
    </row>
    <row r="18" ht="18.75" customHeight="1">
      <c r="A18" s="29">
        <v>15.0</v>
      </c>
      <c r="B18" s="25"/>
      <c r="C18" s="26"/>
      <c r="D18" s="27"/>
      <c r="E18" s="27"/>
      <c r="F18" s="28">
        <f t="shared" si="6"/>
        <v>0</v>
      </c>
      <c r="G18" s="29"/>
      <c r="H18" s="30"/>
      <c r="I18" s="31">
        <f t="shared" si="1"/>
        <v>0</v>
      </c>
      <c r="J18" s="32" t="str">
        <f t="shared" si="9"/>
        <v>#DIV/0!</v>
      </c>
      <c r="K18" s="33">
        <v>0.45</v>
      </c>
      <c r="L18" s="34" t="str">
        <f t="shared" si="2"/>
        <v>#DIV/0!</v>
      </c>
      <c r="M18" s="35"/>
      <c r="N18" s="36" t="str">
        <f t="shared" si="3"/>
        <v>#DIV/0!</v>
      </c>
      <c r="O18" s="37"/>
      <c r="P18" s="37"/>
      <c r="Q18" s="38"/>
      <c r="R18" s="31">
        <f t="shared" si="5"/>
        <v>0</v>
      </c>
      <c r="S18" s="46"/>
      <c r="T18" s="10"/>
      <c r="U18" s="47"/>
      <c r="V18" s="47"/>
      <c r="W18" s="10"/>
      <c r="X18" s="10"/>
      <c r="Y18" s="39"/>
      <c r="Z18" s="10"/>
    </row>
    <row r="19" ht="18.75" customHeight="1">
      <c r="A19" s="29">
        <v>16.0</v>
      </c>
      <c r="B19" s="25"/>
      <c r="C19" s="26"/>
      <c r="D19" s="27"/>
      <c r="E19" s="27"/>
      <c r="F19" s="28">
        <f t="shared" si="6"/>
        <v>0</v>
      </c>
      <c r="G19" s="29"/>
      <c r="H19" s="30"/>
      <c r="I19" s="31">
        <f t="shared" si="1"/>
        <v>0</v>
      </c>
      <c r="J19" s="32" t="str">
        <f t="shared" si="9"/>
        <v>#DIV/0!</v>
      </c>
      <c r="K19" s="33">
        <v>0.45</v>
      </c>
      <c r="L19" s="34" t="str">
        <f t="shared" si="2"/>
        <v>#DIV/0!</v>
      </c>
      <c r="M19" s="35"/>
      <c r="N19" s="36" t="str">
        <f t="shared" si="3"/>
        <v>#DIV/0!</v>
      </c>
      <c r="O19" s="37"/>
      <c r="P19" s="38"/>
      <c r="Q19" s="38"/>
      <c r="R19" s="31">
        <f t="shared" si="5"/>
        <v>0</v>
      </c>
      <c r="S19" s="46"/>
      <c r="T19" s="10"/>
      <c r="U19" s="47"/>
      <c r="V19" s="10"/>
      <c r="W19" s="10"/>
      <c r="X19" s="10"/>
      <c r="Y19" s="39"/>
      <c r="Z19" s="10"/>
    </row>
    <row r="20" ht="18.75" customHeight="1">
      <c r="A20" s="29">
        <v>17.0</v>
      </c>
      <c r="B20" s="25"/>
      <c r="C20" s="26"/>
      <c r="D20" s="27"/>
      <c r="E20" s="27"/>
      <c r="F20" s="28">
        <f t="shared" si="6"/>
        <v>0</v>
      </c>
      <c r="G20" s="29"/>
      <c r="H20" s="30"/>
      <c r="I20" s="31">
        <f t="shared" si="1"/>
        <v>0</v>
      </c>
      <c r="J20" s="32" t="str">
        <f t="shared" si="9"/>
        <v>#DIV/0!</v>
      </c>
      <c r="K20" s="33">
        <v>0.45</v>
      </c>
      <c r="L20" s="34" t="str">
        <f t="shared" si="2"/>
        <v>#DIV/0!</v>
      </c>
      <c r="M20" s="35"/>
      <c r="N20" s="36" t="str">
        <f t="shared" si="3"/>
        <v>#DIV/0!</v>
      </c>
      <c r="O20" s="37"/>
      <c r="P20" s="38"/>
      <c r="Q20" s="38"/>
      <c r="R20" s="31">
        <f t="shared" si="5"/>
        <v>0</v>
      </c>
      <c r="S20" s="46"/>
      <c r="T20" s="10"/>
      <c r="U20" s="47"/>
      <c r="V20" s="47"/>
      <c r="W20" s="10"/>
      <c r="X20" s="10"/>
      <c r="Y20" s="39"/>
      <c r="Z20" s="10"/>
    </row>
    <row r="21" ht="18.7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7"/>
      <c r="P21" s="38"/>
      <c r="Q21" s="38"/>
      <c r="R21" s="31">
        <f t="shared" si="5"/>
        <v>0</v>
      </c>
      <c r="S21" s="46"/>
      <c r="T21" s="10"/>
      <c r="U21" s="47"/>
      <c r="V21" s="47"/>
      <c r="W21" s="10"/>
      <c r="X21" s="10"/>
      <c r="Y21" s="39"/>
      <c r="Z21" s="10"/>
    </row>
    <row r="22" ht="18.7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7"/>
      <c r="P22" s="38"/>
      <c r="Q22" s="38"/>
      <c r="R22" s="31">
        <f t="shared" si="5"/>
        <v>0</v>
      </c>
      <c r="S22" s="46"/>
      <c r="T22" s="52"/>
      <c r="U22" s="47"/>
      <c r="V22" s="47"/>
      <c r="W22" s="10"/>
      <c r="X22" s="10"/>
      <c r="Y22" s="39"/>
      <c r="Z22" s="10"/>
    </row>
    <row r="23" ht="18.7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89"/>
      <c r="P23" s="90"/>
      <c r="Q23" s="5"/>
      <c r="R23" s="31">
        <f t="shared" si="5"/>
        <v>0</v>
      </c>
      <c r="S23" s="46"/>
      <c r="T23" s="55"/>
      <c r="U23" s="47"/>
      <c r="V23" s="10"/>
      <c r="W23" s="10"/>
      <c r="X23" s="10"/>
      <c r="Y23" s="10"/>
      <c r="Z23" s="10"/>
    </row>
    <row r="24" ht="18.7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49"/>
      <c r="P24" s="49"/>
      <c r="Q24" s="5"/>
      <c r="R24" s="31">
        <f t="shared" si="5"/>
        <v>0</v>
      </c>
      <c r="S24" s="46"/>
      <c r="T24" s="56"/>
      <c r="U24" s="47"/>
      <c r="V24" s="10"/>
      <c r="W24" s="10"/>
      <c r="X24" s="10"/>
      <c r="Y24" s="10"/>
      <c r="Z24" s="10"/>
    </row>
    <row r="25" ht="18.7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49"/>
      <c r="P25" s="49"/>
      <c r="Q25" s="5"/>
      <c r="R25" s="31">
        <f t="shared" si="5"/>
        <v>0</v>
      </c>
      <c r="S25" s="46"/>
      <c r="T25" s="55"/>
      <c r="U25" s="47"/>
      <c r="V25" s="10"/>
      <c r="W25" s="10"/>
      <c r="X25" s="10"/>
      <c r="Y25" s="10"/>
      <c r="Z25" s="10"/>
    </row>
    <row r="26" ht="18.75" customHeight="1">
      <c r="A26" s="29">
        <v>23.0</v>
      </c>
      <c r="B26" s="25"/>
      <c r="C26" s="26"/>
      <c r="D26" s="26"/>
      <c r="E26" s="26"/>
      <c r="F26" s="28"/>
      <c r="G26" s="29"/>
      <c r="H26" s="30"/>
      <c r="I26" s="31">
        <f t="shared" ref="I26:I45" si="10">IF(G26="현금",H26,H26/1.1)</f>
        <v>0</v>
      </c>
      <c r="J26" s="32" t="str">
        <f t="shared" ref="J26:J45" si="11">I26/D26</f>
        <v>#DIV/0!</v>
      </c>
      <c r="K26" s="33">
        <v>0.4</v>
      </c>
      <c r="L26" s="34" t="str">
        <f t="shared" ref="L26:L45" si="12">PRODUCT(K26,J26)</f>
        <v>#DIV/0!</v>
      </c>
      <c r="M26" s="91"/>
      <c r="N26" s="36" t="str">
        <f t="shared" ref="N26:N45" si="13">PRODUCT(M26,L26)</f>
        <v>#DIV/0!</v>
      </c>
      <c r="O26" s="49"/>
      <c r="P26" s="49"/>
      <c r="Q26" s="5"/>
      <c r="R26" s="31">
        <f t="shared" si="5"/>
        <v>0</v>
      </c>
      <c r="S26" s="46"/>
      <c r="T26" s="10"/>
      <c r="U26" s="47"/>
      <c r="V26" s="10"/>
      <c r="W26" s="10"/>
      <c r="X26" s="10"/>
      <c r="Y26" s="10"/>
      <c r="Z26" s="10"/>
    </row>
    <row r="27" ht="18.75" customHeight="1">
      <c r="A27" s="29">
        <v>24.0</v>
      </c>
      <c r="B27" s="25"/>
      <c r="C27" s="26"/>
      <c r="D27" s="26"/>
      <c r="E27" s="26"/>
      <c r="F27" s="28">
        <f t="shared" ref="F27:F45" si="14">D27-E27</f>
        <v>0</v>
      </c>
      <c r="G27" s="29"/>
      <c r="H27" s="30"/>
      <c r="I27" s="31">
        <f t="shared" si="10"/>
        <v>0</v>
      </c>
      <c r="J27" s="32" t="str">
        <f t="shared" si="11"/>
        <v>#DIV/0!</v>
      </c>
      <c r="K27" s="33">
        <v>0.4</v>
      </c>
      <c r="L27" s="34" t="str">
        <f t="shared" si="12"/>
        <v>#DIV/0!</v>
      </c>
      <c r="M27" s="91"/>
      <c r="N27" s="36" t="str">
        <f t="shared" si="13"/>
        <v>#DIV/0!</v>
      </c>
      <c r="O27" s="49"/>
      <c r="P27" s="49"/>
      <c r="Q27" s="5"/>
      <c r="R27" s="31">
        <f t="shared" si="5"/>
        <v>0</v>
      </c>
      <c r="S27" s="46"/>
      <c r="T27" s="10"/>
      <c r="U27" s="47"/>
      <c r="V27" s="10"/>
      <c r="W27" s="10"/>
      <c r="X27" s="10"/>
      <c r="Y27" s="10"/>
      <c r="Z27" s="10"/>
    </row>
    <row r="28" ht="18.75" customHeight="1">
      <c r="A28" s="29">
        <v>25.0</v>
      </c>
      <c r="B28" s="25"/>
      <c r="C28" s="26"/>
      <c r="D28" s="25"/>
      <c r="E28" s="25"/>
      <c r="F28" s="28">
        <f t="shared" si="14"/>
        <v>0</v>
      </c>
      <c r="G28" s="29"/>
      <c r="H28" s="30"/>
      <c r="I28" s="31">
        <f t="shared" si="10"/>
        <v>0</v>
      </c>
      <c r="J28" s="32" t="str">
        <f t="shared" si="11"/>
        <v>#DIV/0!</v>
      </c>
      <c r="K28" s="33">
        <v>0.4</v>
      </c>
      <c r="L28" s="34" t="str">
        <f t="shared" si="12"/>
        <v>#DIV/0!</v>
      </c>
      <c r="M28" s="91"/>
      <c r="N28" s="36" t="str">
        <f t="shared" si="13"/>
        <v>#DIV/0!</v>
      </c>
      <c r="O28" s="53" t="s">
        <v>97</v>
      </c>
      <c r="P28" s="22"/>
      <c r="Q28" s="23"/>
      <c r="R28" s="51">
        <v>1496000.0</v>
      </c>
      <c r="S28" s="46"/>
      <c r="T28" s="10"/>
      <c r="U28" s="47"/>
      <c r="V28" s="10"/>
      <c r="W28" s="10"/>
      <c r="X28" s="10"/>
      <c r="Y28" s="10"/>
      <c r="Z28" s="10"/>
    </row>
    <row r="29" ht="18.75" customHeight="1">
      <c r="A29" s="29">
        <v>26.0</v>
      </c>
      <c r="B29" s="25"/>
      <c r="C29" s="26"/>
      <c r="D29" s="26"/>
      <c r="E29" s="26"/>
      <c r="F29" s="28">
        <f t="shared" si="14"/>
        <v>0</v>
      </c>
      <c r="G29" s="29"/>
      <c r="H29" s="30"/>
      <c r="I29" s="31">
        <f t="shared" si="10"/>
        <v>0</v>
      </c>
      <c r="J29" s="32" t="str">
        <f t="shared" si="11"/>
        <v>#DIV/0!</v>
      </c>
      <c r="K29" s="33">
        <v>0.4</v>
      </c>
      <c r="L29" s="34" t="str">
        <f t="shared" si="12"/>
        <v>#DIV/0!</v>
      </c>
      <c r="M29" s="91"/>
      <c r="N29" s="36" t="str">
        <f t="shared" si="13"/>
        <v>#DIV/0!</v>
      </c>
      <c r="O29" s="53" t="s">
        <v>56</v>
      </c>
      <c r="P29" s="22"/>
      <c r="Q29" s="23"/>
      <c r="R29" s="54"/>
      <c r="S29" s="46"/>
      <c r="T29" s="10"/>
      <c r="U29" s="47"/>
      <c r="V29" s="10"/>
      <c r="W29" s="10"/>
      <c r="X29" s="10"/>
      <c r="Y29" s="10"/>
      <c r="Z29" s="10"/>
    </row>
    <row r="30" ht="18.75" customHeight="1">
      <c r="A30" s="29">
        <v>27.0</v>
      </c>
      <c r="B30" s="25"/>
      <c r="C30" s="26"/>
      <c r="D30" s="26"/>
      <c r="E30" s="26"/>
      <c r="F30" s="28">
        <f t="shared" si="14"/>
        <v>0</v>
      </c>
      <c r="G30" s="29"/>
      <c r="H30" s="30"/>
      <c r="I30" s="31">
        <f t="shared" si="10"/>
        <v>0</v>
      </c>
      <c r="J30" s="32" t="str">
        <f t="shared" si="11"/>
        <v>#DIV/0!</v>
      </c>
      <c r="K30" s="33">
        <v>0.4</v>
      </c>
      <c r="L30" s="34" t="str">
        <f t="shared" si="12"/>
        <v>#DIV/0!</v>
      </c>
      <c r="M30" s="35"/>
      <c r="N30" s="36" t="str">
        <f t="shared" si="13"/>
        <v>#DIV/0!</v>
      </c>
      <c r="O30" s="53" t="s">
        <v>58</v>
      </c>
      <c r="P30" s="22"/>
      <c r="Q30" s="23"/>
      <c r="R30" s="54">
        <f>R29+R28</f>
        <v>1496000</v>
      </c>
      <c r="S30" s="46"/>
      <c r="T30" s="10"/>
      <c r="U30" s="47"/>
      <c r="V30" s="10"/>
      <c r="W30" s="10"/>
      <c r="X30" s="10"/>
      <c r="Y30" s="10"/>
      <c r="Z30" s="10"/>
    </row>
    <row r="31" ht="18.75" customHeight="1">
      <c r="A31" s="29">
        <v>28.0</v>
      </c>
      <c r="B31" s="43"/>
      <c r="C31" s="27"/>
      <c r="D31" s="27"/>
      <c r="E31" s="27"/>
      <c r="F31" s="28">
        <f t="shared" si="14"/>
        <v>0</v>
      </c>
      <c r="G31" s="29"/>
      <c r="H31" s="30"/>
      <c r="I31" s="31">
        <f t="shared" si="10"/>
        <v>0</v>
      </c>
      <c r="J31" s="32" t="str">
        <f t="shared" si="11"/>
        <v>#DIV/0!</v>
      </c>
      <c r="K31" s="33">
        <v>0.4</v>
      </c>
      <c r="L31" s="34" t="str">
        <f t="shared" si="12"/>
        <v>#DIV/0!</v>
      </c>
      <c r="M31" s="29"/>
      <c r="N31" s="36" t="str">
        <f t="shared" si="13"/>
        <v>#DIV/0!</v>
      </c>
      <c r="O31" s="57" t="s">
        <v>130</v>
      </c>
      <c r="P31" s="2"/>
      <c r="Q31" s="3"/>
      <c r="R31" s="58">
        <v>900000.0</v>
      </c>
      <c r="S31" s="46"/>
      <c r="T31" s="39"/>
      <c r="U31" s="39"/>
      <c r="X31" s="39"/>
      <c r="Y31" s="10"/>
      <c r="Z31" s="10"/>
    </row>
    <row r="32" ht="18.75" customHeight="1">
      <c r="A32" s="29">
        <v>29.0</v>
      </c>
      <c r="B32" s="43"/>
      <c r="C32" s="27"/>
      <c r="D32" s="43"/>
      <c r="E32" s="43"/>
      <c r="F32" s="28">
        <f t="shared" si="14"/>
        <v>0</v>
      </c>
      <c r="G32" s="29"/>
      <c r="H32" s="30"/>
      <c r="I32" s="31">
        <f t="shared" si="10"/>
        <v>0</v>
      </c>
      <c r="J32" s="32" t="str">
        <f t="shared" si="11"/>
        <v>#DIV/0!</v>
      </c>
      <c r="K32" s="33">
        <v>0.4</v>
      </c>
      <c r="L32" s="34" t="str">
        <f t="shared" si="12"/>
        <v>#DIV/0!</v>
      </c>
      <c r="M32" s="81"/>
      <c r="N32" s="36" t="str">
        <f t="shared" si="13"/>
        <v>#DIV/0!</v>
      </c>
      <c r="O32" s="59"/>
      <c r="P32" s="60"/>
      <c r="Q32" s="61"/>
      <c r="R32" s="62"/>
      <c r="S32" s="46"/>
      <c r="T32" s="39"/>
      <c r="U32" s="39"/>
      <c r="X32" s="39"/>
      <c r="Y32" s="10"/>
      <c r="Z32" s="10"/>
    </row>
    <row r="33" ht="18.75" customHeight="1">
      <c r="A33" s="29">
        <v>30.0</v>
      </c>
      <c r="B33" s="43"/>
      <c r="C33" s="27"/>
      <c r="D33" s="27"/>
      <c r="E33" s="27"/>
      <c r="F33" s="28">
        <f t="shared" si="14"/>
        <v>0</v>
      </c>
      <c r="G33" s="29"/>
      <c r="H33" s="30"/>
      <c r="I33" s="31">
        <f t="shared" si="10"/>
        <v>0</v>
      </c>
      <c r="J33" s="32" t="str">
        <f t="shared" si="11"/>
        <v>#DIV/0!</v>
      </c>
      <c r="K33" s="33">
        <v>0.4</v>
      </c>
      <c r="L33" s="34" t="str">
        <f t="shared" si="12"/>
        <v>#DIV/0!</v>
      </c>
      <c r="M33" s="81"/>
      <c r="N33" s="36" t="str">
        <f t="shared" si="13"/>
        <v>#DIV/0!</v>
      </c>
      <c r="O33" s="57" t="s">
        <v>131</v>
      </c>
      <c r="P33" s="2"/>
      <c r="Q33" s="3"/>
      <c r="R33" s="63">
        <f>SUMIF(N4:N45,"&gt;0",N4:N45)</f>
        <v>1242000</v>
      </c>
      <c r="S33" s="46"/>
      <c r="T33" s="39"/>
      <c r="U33" s="39"/>
      <c r="X33" s="39"/>
      <c r="Y33" s="10"/>
      <c r="Z33" s="10"/>
    </row>
    <row r="34" ht="18.75" customHeight="1">
      <c r="A34" s="29">
        <v>31.0</v>
      </c>
      <c r="B34" s="43"/>
      <c r="C34" s="27"/>
      <c r="D34" s="27"/>
      <c r="E34" s="27"/>
      <c r="F34" s="28">
        <f t="shared" si="14"/>
        <v>0</v>
      </c>
      <c r="G34" s="29"/>
      <c r="H34" s="30"/>
      <c r="I34" s="31">
        <f t="shared" si="10"/>
        <v>0</v>
      </c>
      <c r="J34" s="32" t="str">
        <f t="shared" si="11"/>
        <v>#DIV/0!</v>
      </c>
      <c r="K34" s="33">
        <v>0.4</v>
      </c>
      <c r="L34" s="34" t="str">
        <f t="shared" si="12"/>
        <v>#DIV/0!</v>
      </c>
      <c r="M34" s="81"/>
      <c r="N34" s="36" t="str">
        <f t="shared" si="13"/>
        <v>#DIV/0!</v>
      </c>
      <c r="O34" s="59"/>
      <c r="P34" s="60"/>
      <c r="Q34" s="61"/>
      <c r="R34" s="62"/>
      <c r="S34" s="46"/>
      <c r="T34" s="39"/>
      <c r="U34" s="39"/>
      <c r="X34" s="39"/>
    </row>
    <row r="35" ht="18.75" customHeight="1">
      <c r="A35" s="29">
        <v>32.0</v>
      </c>
      <c r="B35" s="43"/>
      <c r="C35" s="27"/>
      <c r="D35" s="43"/>
      <c r="E35" s="43"/>
      <c r="F35" s="28">
        <f t="shared" si="14"/>
        <v>0</v>
      </c>
      <c r="G35" s="29"/>
      <c r="H35" s="44"/>
      <c r="I35" s="31">
        <f t="shared" si="10"/>
        <v>0</v>
      </c>
      <c r="J35" s="32" t="str">
        <f t="shared" si="11"/>
        <v>#DIV/0!</v>
      </c>
      <c r="K35" s="33">
        <v>0.4</v>
      </c>
      <c r="L35" s="34" t="str">
        <f t="shared" si="12"/>
        <v>#DIV/0!</v>
      </c>
      <c r="M35" s="81"/>
      <c r="N35" s="36" t="str">
        <f t="shared" si="13"/>
        <v>#DIV/0!</v>
      </c>
      <c r="O35" s="57" t="s">
        <v>63</v>
      </c>
      <c r="P35" s="2"/>
      <c r="Q35" s="3"/>
      <c r="R35" s="63">
        <f>R31+R33</f>
        <v>2142000</v>
      </c>
      <c r="S35" s="10"/>
      <c r="T35" s="10"/>
      <c r="U35" s="10"/>
      <c r="V35" s="10"/>
      <c r="W35" s="10"/>
      <c r="Y35" s="10"/>
      <c r="Z35" s="10"/>
    </row>
    <row r="36" ht="18.75" customHeight="1">
      <c r="A36" s="29">
        <v>33.0</v>
      </c>
      <c r="B36" s="43"/>
      <c r="C36" s="27"/>
      <c r="D36" s="27"/>
      <c r="E36" s="27"/>
      <c r="F36" s="28">
        <f t="shared" si="14"/>
        <v>0</v>
      </c>
      <c r="G36" s="29"/>
      <c r="H36" s="30"/>
      <c r="I36" s="31">
        <f t="shared" si="10"/>
        <v>0</v>
      </c>
      <c r="J36" s="32" t="str">
        <f t="shared" si="11"/>
        <v>#DIV/0!</v>
      </c>
      <c r="K36" s="33">
        <v>0.4</v>
      </c>
      <c r="L36" s="34" t="str">
        <f t="shared" si="12"/>
        <v>#DIV/0!</v>
      </c>
      <c r="M36" s="81"/>
      <c r="N36" s="36" t="str">
        <f t="shared" si="13"/>
        <v>#DIV/0!</v>
      </c>
      <c r="O36" s="59"/>
      <c r="P36" s="60"/>
      <c r="Q36" s="61"/>
      <c r="R36" s="62"/>
      <c r="S36" s="10"/>
      <c r="T36" s="10"/>
      <c r="U36" s="10"/>
      <c r="V36" s="10"/>
      <c r="W36" s="10"/>
    </row>
    <row r="37" ht="18.75" customHeight="1">
      <c r="A37" s="29">
        <v>34.0</v>
      </c>
      <c r="B37" s="43"/>
      <c r="C37" s="27"/>
      <c r="D37" s="43"/>
      <c r="E37" s="43"/>
      <c r="F37" s="28">
        <f t="shared" si="14"/>
        <v>0</v>
      </c>
      <c r="G37" s="29"/>
      <c r="H37" s="44"/>
      <c r="I37" s="31">
        <f t="shared" si="10"/>
        <v>0</v>
      </c>
      <c r="J37" s="32" t="str">
        <f t="shared" si="11"/>
        <v>#DIV/0!</v>
      </c>
      <c r="K37" s="33">
        <v>0.4</v>
      </c>
      <c r="L37" s="34" t="str">
        <f t="shared" si="12"/>
        <v>#DIV/0!</v>
      </c>
      <c r="M37" s="81"/>
      <c r="N37" s="36" t="str">
        <f t="shared" si="13"/>
        <v>#DIV/0!</v>
      </c>
      <c r="O37" s="67" t="s">
        <v>104</v>
      </c>
      <c r="P37" s="22"/>
      <c r="Q37" s="22"/>
      <c r="R37" s="23"/>
      <c r="T37" s="10"/>
      <c r="U37" s="10"/>
      <c r="V37" s="10"/>
      <c r="W37" s="10"/>
    </row>
    <row r="38" ht="18.75" customHeight="1">
      <c r="A38" s="29">
        <v>35.0</v>
      </c>
      <c r="B38" s="43"/>
      <c r="C38" s="27"/>
      <c r="D38" s="27"/>
      <c r="E38" s="27"/>
      <c r="F38" s="28">
        <f t="shared" si="14"/>
        <v>0</v>
      </c>
      <c r="G38" s="29"/>
      <c r="H38" s="44"/>
      <c r="I38" s="31">
        <f t="shared" si="10"/>
        <v>0</v>
      </c>
      <c r="J38" s="32" t="str">
        <f t="shared" si="11"/>
        <v>#DIV/0!</v>
      </c>
      <c r="K38" s="33">
        <v>0.4</v>
      </c>
      <c r="L38" s="34" t="str">
        <f t="shared" si="12"/>
        <v>#DIV/0!</v>
      </c>
      <c r="M38" s="81"/>
      <c r="N38" s="36" t="str">
        <f t="shared" si="13"/>
        <v>#DIV/0!</v>
      </c>
      <c r="O38" s="67" t="s">
        <v>132</v>
      </c>
      <c r="P38" s="22"/>
      <c r="Q38" s="22"/>
      <c r="R38" s="23"/>
      <c r="T38" s="10"/>
      <c r="U38" s="10"/>
      <c r="V38" s="10"/>
      <c r="W38" s="10"/>
    </row>
    <row r="39" ht="18.75" customHeight="1">
      <c r="A39" s="29">
        <v>36.0</v>
      </c>
      <c r="B39" s="43"/>
      <c r="C39" s="27"/>
      <c r="D39" s="27"/>
      <c r="E39" s="27"/>
      <c r="F39" s="28">
        <f t="shared" si="14"/>
        <v>0</v>
      </c>
      <c r="G39" s="29"/>
      <c r="H39" s="48"/>
      <c r="I39" s="31">
        <f t="shared" si="10"/>
        <v>0</v>
      </c>
      <c r="J39" s="32" t="str">
        <f t="shared" si="11"/>
        <v>#DIV/0!</v>
      </c>
      <c r="K39" s="33">
        <v>0.4</v>
      </c>
      <c r="L39" s="34" t="str">
        <f t="shared" si="12"/>
        <v>#DIV/0!</v>
      </c>
      <c r="M39" s="81"/>
      <c r="N39" s="36" t="str">
        <f t="shared" si="13"/>
        <v>#DIV/0!</v>
      </c>
      <c r="O39" s="67" t="s">
        <v>106</v>
      </c>
      <c r="P39" s="22"/>
      <c r="Q39" s="22"/>
      <c r="R39" s="23"/>
      <c r="T39" s="10"/>
      <c r="U39" s="10"/>
      <c r="V39" s="10"/>
      <c r="W39" s="10"/>
    </row>
    <row r="40" ht="18.75" customHeight="1">
      <c r="A40" s="29">
        <v>37.0</v>
      </c>
      <c r="B40" s="43"/>
      <c r="C40" s="27"/>
      <c r="D40" s="27"/>
      <c r="E40" s="27"/>
      <c r="F40" s="28">
        <f t="shared" si="14"/>
        <v>0</v>
      </c>
      <c r="G40" s="29"/>
      <c r="H40" s="48"/>
      <c r="I40" s="31">
        <f t="shared" si="10"/>
        <v>0</v>
      </c>
      <c r="J40" s="32" t="str">
        <f t="shared" si="11"/>
        <v>#DIV/0!</v>
      </c>
      <c r="K40" s="33">
        <v>0.4</v>
      </c>
      <c r="L40" s="34" t="str">
        <f t="shared" si="12"/>
        <v>#DIV/0!</v>
      </c>
      <c r="M40" s="81"/>
      <c r="N40" s="36" t="str">
        <f t="shared" si="13"/>
        <v>#DIV/0!</v>
      </c>
      <c r="O40" s="67" t="s">
        <v>108</v>
      </c>
      <c r="P40" s="22"/>
      <c r="Q40" s="22"/>
      <c r="R40" s="23"/>
      <c r="T40" s="10"/>
      <c r="U40" s="10"/>
      <c r="V40" s="10"/>
      <c r="W40" s="10"/>
    </row>
    <row r="41" ht="18.75" customHeight="1">
      <c r="A41" s="29">
        <v>38.0</v>
      </c>
      <c r="B41" s="43"/>
      <c r="C41" s="27"/>
      <c r="D41" s="27"/>
      <c r="E41" s="27"/>
      <c r="F41" s="28">
        <f t="shared" si="14"/>
        <v>0</v>
      </c>
      <c r="G41" s="29"/>
      <c r="H41" s="48"/>
      <c r="I41" s="31">
        <f t="shared" si="10"/>
        <v>0</v>
      </c>
      <c r="J41" s="32" t="str">
        <f t="shared" si="11"/>
        <v>#DIV/0!</v>
      </c>
      <c r="K41" s="33">
        <v>0.4</v>
      </c>
      <c r="L41" s="34" t="str">
        <f t="shared" si="12"/>
        <v>#DIV/0!</v>
      </c>
      <c r="M41" s="81"/>
      <c r="N41" s="36" t="str">
        <f t="shared" si="13"/>
        <v>#DIV/0!</v>
      </c>
      <c r="O41" s="67" t="s">
        <v>110</v>
      </c>
      <c r="P41" s="22"/>
      <c r="Q41" s="22"/>
      <c r="R41" s="23"/>
      <c r="T41" s="10"/>
      <c r="U41" s="10"/>
      <c r="V41" s="10"/>
      <c r="W41" s="10"/>
    </row>
    <row r="42" ht="18.75" customHeight="1">
      <c r="A42" s="29">
        <v>39.0</v>
      </c>
      <c r="B42" s="43"/>
      <c r="C42" s="27"/>
      <c r="D42" s="27"/>
      <c r="E42" s="27"/>
      <c r="F42" s="28">
        <f t="shared" si="14"/>
        <v>0</v>
      </c>
      <c r="G42" s="29"/>
      <c r="H42" s="48"/>
      <c r="I42" s="31">
        <f t="shared" si="10"/>
        <v>0</v>
      </c>
      <c r="J42" s="32" t="str">
        <f t="shared" si="11"/>
        <v>#DIV/0!</v>
      </c>
      <c r="K42" s="33">
        <v>0.4</v>
      </c>
      <c r="L42" s="34" t="str">
        <f t="shared" si="12"/>
        <v>#DIV/0!</v>
      </c>
      <c r="M42" s="81"/>
      <c r="N42" s="36" t="str">
        <f t="shared" si="13"/>
        <v>#DIV/0!</v>
      </c>
      <c r="O42" s="67" t="s">
        <v>111</v>
      </c>
      <c r="P42" s="22"/>
      <c r="Q42" s="22"/>
      <c r="R42" s="23"/>
      <c r="T42" s="10"/>
      <c r="U42" s="10"/>
      <c r="V42" s="10"/>
      <c r="W42" s="10"/>
    </row>
    <row r="43" ht="18.75" customHeight="1">
      <c r="A43" s="29">
        <v>40.0</v>
      </c>
      <c r="B43" s="43"/>
      <c r="C43" s="27"/>
      <c r="D43" s="27"/>
      <c r="E43" s="27"/>
      <c r="F43" s="28">
        <f t="shared" si="14"/>
        <v>0</v>
      </c>
      <c r="G43" s="29"/>
      <c r="H43" s="48"/>
      <c r="I43" s="31">
        <f t="shared" si="10"/>
        <v>0</v>
      </c>
      <c r="J43" s="32" t="str">
        <f t="shared" si="11"/>
        <v>#DIV/0!</v>
      </c>
      <c r="K43" s="33">
        <v>0.4</v>
      </c>
      <c r="L43" s="34" t="str">
        <f t="shared" si="12"/>
        <v>#DIV/0!</v>
      </c>
      <c r="M43" s="81"/>
      <c r="N43" s="36" t="str">
        <f t="shared" si="13"/>
        <v>#DIV/0!</v>
      </c>
      <c r="O43" s="67" t="s">
        <v>112</v>
      </c>
      <c r="P43" s="22"/>
      <c r="Q43" s="22"/>
      <c r="R43" s="23"/>
      <c r="T43" s="10"/>
      <c r="U43" s="10"/>
      <c r="V43" s="10"/>
      <c r="W43" s="10"/>
    </row>
    <row r="44" ht="18.75" customHeight="1">
      <c r="A44" s="29">
        <v>41.0</v>
      </c>
      <c r="B44" s="43"/>
      <c r="C44" s="27"/>
      <c r="D44" s="27"/>
      <c r="E44" s="27"/>
      <c r="F44" s="28">
        <f t="shared" si="14"/>
        <v>0</v>
      </c>
      <c r="G44" s="29"/>
      <c r="H44" s="48"/>
      <c r="I44" s="31">
        <f t="shared" si="10"/>
        <v>0</v>
      </c>
      <c r="J44" s="32" t="str">
        <f t="shared" si="11"/>
        <v>#DIV/0!</v>
      </c>
      <c r="K44" s="33">
        <v>0.4</v>
      </c>
      <c r="L44" s="34" t="str">
        <f t="shared" si="12"/>
        <v>#DIV/0!</v>
      </c>
      <c r="M44" s="81"/>
      <c r="N44" s="36" t="str">
        <f t="shared" si="13"/>
        <v>#DIV/0!</v>
      </c>
      <c r="O44" s="67" t="s">
        <v>113</v>
      </c>
      <c r="P44" s="22"/>
      <c r="Q44" s="22"/>
      <c r="R44" s="23"/>
      <c r="T44" s="10"/>
      <c r="U44" s="10"/>
      <c r="V44" s="10"/>
      <c r="W44" s="10"/>
      <c r="X44" s="10"/>
      <c r="Y44" s="10"/>
      <c r="Z44" s="10"/>
    </row>
    <row r="45" ht="18.75" customHeight="1">
      <c r="A45" s="29">
        <v>42.0</v>
      </c>
      <c r="B45" s="43"/>
      <c r="C45" s="27"/>
      <c r="D45" s="27"/>
      <c r="E45" s="27"/>
      <c r="F45" s="28">
        <f t="shared" si="14"/>
        <v>0</v>
      </c>
      <c r="G45" s="29"/>
      <c r="H45" s="48"/>
      <c r="I45" s="31">
        <f t="shared" si="10"/>
        <v>0</v>
      </c>
      <c r="J45" s="32" t="str">
        <f t="shared" si="11"/>
        <v>#DIV/0!</v>
      </c>
      <c r="K45" s="33">
        <v>0.4</v>
      </c>
      <c r="L45" s="34" t="str">
        <f t="shared" si="12"/>
        <v>#DIV/0!</v>
      </c>
      <c r="M45" s="81"/>
      <c r="N45" s="36" t="str">
        <f t="shared" si="13"/>
        <v>#DIV/0!</v>
      </c>
      <c r="O45" s="67" t="s">
        <v>114</v>
      </c>
      <c r="P45" s="22"/>
      <c r="Q45" s="22"/>
      <c r="R45" s="23"/>
      <c r="T45" s="10"/>
      <c r="U45" s="10"/>
      <c r="V45" s="10"/>
      <c r="W45" s="10"/>
      <c r="X45" s="10"/>
      <c r="Y45" s="10"/>
      <c r="Z45" s="10"/>
    </row>
    <row r="46" ht="16.5" customHeight="1">
      <c r="A46" s="6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68"/>
      <c r="B48" s="68"/>
      <c r="C48" s="68"/>
      <c r="D48" s="68"/>
      <c r="E48" s="68"/>
      <c r="G48" s="68"/>
      <c r="H48" s="68"/>
      <c r="I48" s="68"/>
      <c r="J48" s="68"/>
      <c r="K48" s="68"/>
      <c r="L48" s="68"/>
      <c r="M48" s="68"/>
      <c r="N48" s="68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B49" s="68"/>
      <c r="C49" s="68"/>
      <c r="D49" s="68"/>
      <c r="E49" s="68"/>
      <c r="G49" s="68"/>
      <c r="H49" s="68"/>
      <c r="I49" s="68"/>
      <c r="J49" s="68"/>
      <c r="K49" s="68"/>
      <c r="L49" s="68"/>
      <c r="M49" s="68"/>
      <c r="N49" s="68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68"/>
      <c r="B53" s="68"/>
      <c r="C53" s="68"/>
      <c r="E53" s="68"/>
      <c r="G53" s="68"/>
      <c r="H53" s="68"/>
      <c r="I53" s="68"/>
      <c r="J53" s="68"/>
      <c r="K53" s="68"/>
      <c r="L53" s="68"/>
      <c r="M53" s="68"/>
      <c r="N53" s="6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C54" s="68"/>
      <c r="D54" s="68"/>
      <c r="G54" s="68"/>
      <c r="H54" s="68"/>
      <c r="I54" s="68"/>
      <c r="J54" s="68"/>
      <c r="K54" s="68"/>
      <c r="L54" s="68"/>
      <c r="M54" s="68"/>
      <c r="N54" s="6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B55" s="68"/>
      <c r="C55" s="68"/>
      <c r="D55" s="68"/>
      <c r="E55" s="68"/>
      <c r="G55" s="68"/>
      <c r="H55" s="68"/>
      <c r="I55" s="68"/>
      <c r="J55" s="68"/>
      <c r="K55" s="68"/>
      <c r="L55" s="68"/>
      <c r="M55" s="68"/>
      <c r="N55" s="6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8:Q28"/>
    <mergeCell ref="O29:Q29"/>
    <mergeCell ref="O30:Q30"/>
    <mergeCell ref="O31:Q32"/>
    <mergeCell ref="R31:R32"/>
    <mergeCell ref="U31:W31"/>
    <mergeCell ref="U32:W32"/>
    <mergeCell ref="O33:Q34"/>
    <mergeCell ref="R33:R34"/>
    <mergeCell ref="U33:W33"/>
    <mergeCell ref="U34:W34"/>
    <mergeCell ref="R35:R36"/>
    <mergeCell ref="O35:Q36"/>
    <mergeCell ref="O37:R37"/>
    <mergeCell ref="O38:R38"/>
    <mergeCell ref="O39:R39"/>
    <mergeCell ref="O40:R40"/>
    <mergeCell ref="O41:R41"/>
    <mergeCell ref="O42:R42"/>
    <mergeCell ref="A53:A55"/>
    <mergeCell ref="B53:B54"/>
    <mergeCell ref="C53:D53"/>
    <mergeCell ref="E53:F54"/>
    <mergeCell ref="E55:F55"/>
    <mergeCell ref="A57:B57"/>
    <mergeCell ref="O43:R43"/>
    <mergeCell ref="O44:R44"/>
    <mergeCell ref="O45:R45"/>
    <mergeCell ref="A46:N46"/>
    <mergeCell ref="A48:A49"/>
    <mergeCell ref="E48:F48"/>
    <mergeCell ref="E49:F49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57"/>
    <col customWidth="1" min="9" max="9" width="9.86"/>
    <col customWidth="1" min="10" max="13" width="8.71"/>
    <col customWidth="1" min="14" max="14" width="11.14"/>
    <col customWidth="1" min="15" max="16" width="8.71"/>
    <col customWidth="1" min="17" max="17" width="13.14"/>
    <col customWidth="1" min="18" max="18" width="18.71"/>
    <col customWidth="1" min="19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133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</row>
    <row r="2" ht="16.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8</v>
      </c>
      <c r="L2" s="14">
        <f>COUNTIFS(C4:C45,"남")</f>
        <v>3</v>
      </c>
      <c r="M2" s="14">
        <f>COUNTIFS(C4:C45,"여")</f>
        <v>5</v>
      </c>
      <c r="N2" s="15">
        <v>40000.0</v>
      </c>
      <c r="O2" s="16">
        <f>SUM(M4:M45)</f>
        <v>11</v>
      </c>
      <c r="P2" s="17">
        <f>SUM(F4:F45)</f>
        <v>39</v>
      </c>
      <c r="Q2" s="92">
        <f t="shared" ref="Q2:R2" si="1">SUM(Q5:Q27)</f>
        <v>0</v>
      </c>
      <c r="R2" s="92">
        <f t="shared" si="1"/>
        <v>0</v>
      </c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</row>
    <row r="4" ht="16.5" customHeight="1">
      <c r="A4" s="24">
        <v>1.0</v>
      </c>
      <c r="B4" s="69" t="s">
        <v>134</v>
      </c>
      <c r="C4" s="70" t="s">
        <v>5</v>
      </c>
      <c r="D4" s="71">
        <v>5.0</v>
      </c>
      <c r="E4" s="71">
        <v>0.0</v>
      </c>
      <c r="F4" s="72">
        <v>1.0</v>
      </c>
      <c r="G4" s="24" t="s">
        <v>28</v>
      </c>
      <c r="H4" s="82"/>
      <c r="I4" s="83">
        <v>400000.0</v>
      </c>
      <c r="J4" s="74">
        <v>40000.0</v>
      </c>
      <c r="K4" s="33">
        <v>0.5</v>
      </c>
      <c r="L4" s="84">
        <f t="shared" ref="L4:L11" si="2">PRODUCT(K4,J4)</f>
        <v>20000</v>
      </c>
      <c r="M4" s="76">
        <f t="shared" ref="M4:M11" si="3">E4</f>
        <v>0</v>
      </c>
      <c r="N4" s="36">
        <f t="shared" ref="N4:N11" si="4">PRODUCT(M4,L4)</f>
        <v>0</v>
      </c>
      <c r="O4" s="78" t="s">
        <v>76</v>
      </c>
      <c r="P4" s="78" t="s">
        <v>77</v>
      </c>
      <c r="Q4" s="78" t="s">
        <v>78</v>
      </c>
      <c r="R4" s="78" t="s">
        <v>79</v>
      </c>
    </row>
    <row r="5" ht="16.5" customHeight="1">
      <c r="A5" s="29">
        <v>2.0</v>
      </c>
      <c r="B5" s="25" t="s">
        <v>135</v>
      </c>
      <c r="C5" s="26" t="s">
        <v>5</v>
      </c>
      <c r="D5" s="27">
        <v>20.0</v>
      </c>
      <c r="E5" s="27">
        <v>3.0</v>
      </c>
      <c r="F5" s="28">
        <v>0.0</v>
      </c>
      <c r="G5" s="29" t="s">
        <v>28</v>
      </c>
      <c r="H5" s="87"/>
      <c r="I5" s="83">
        <v>400000.0</v>
      </c>
      <c r="J5" s="74">
        <v>40000.0</v>
      </c>
      <c r="K5" s="33">
        <v>0.5</v>
      </c>
      <c r="L5" s="84">
        <f t="shared" si="2"/>
        <v>20000</v>
      </c>
      <c r="M5" s="76">
        <f t="shared" si="3"/>
        <v>3</v>
      </c>
      <c r="N5" s="36">
        <f t="shared" si="4"/>
        <v>60000</v>
      </c>
      <c r="O5" s="37"/>
      <c r="P5" s="38"/>
      <c r="Q5" s="38"/>
      <c r="R5" s="31">
        <f t="shared" ref="R5:R6" si="5">IF(P5="현금",Q5,Q5/1.1)</f>
        <v>0</v>
      </c>
    </row>
    <row r="6" ht="16.5" customHeight="1">
      <c r="A6" s="29">
        <v>3.0</v>
      </c>
      <c r="B6" s="25" t="s">
        <v>136</v>
      </c>
      <c r="C6" s="26" t="s">
        <v>4</v>
      </c>
      <c r="D6" s="27">
        <v>40.0</v>
      </c>
      <c r="E6" s="27">
        <v>2.0</v>
      </c>
      <c r="F6" s="28">
        <v>11.0</v>
      </c>
      <c r="G6" s="29" t="s">
        <v>28</v>
      </c>
      <c r="H6" s="87"/>
      <c r="I6" s="83">
        <v>400000.0</v>
      </c>
      <c r="J6" s="74">
        <v>40000.0</v>
      </c>
      <c r="K6" s="33">
        <v>0.5</v>
      </c>
      <c r="L6" s="84">
        <f t="shared" si="2"/>
        <v>20000</v>
      </c>
      <c r="M6" s="76">
        <f t="shared" si="3"/>
        <v>2</v>
      </c>
      <c r="N6" s="36">
        <f t="shared" si="4"/>
        <v>40000</v>
      </c>
      <c r="O6" s="37"/>
      <c r="P6" s="38"/>
      <c r="Q6" s="38"/>
      <c r="R6" s="31">
        <f t="shared" si="5"/>
        <v>0</v>
      </c>
    </row>
    <row r="7" ht="16.5" customHeight="1">
      <c r="A7" s="29">
        <v>4.0</v>
      </c>
      <c r="B7" s="25" t="s">
        <v>137</v>
      </c>
      <c r="C7" s="26" t="s">
        <v>4</v>
      </c>
      <c r="D7" s="27">
        <v>10.0</v>
      </c>
      <c r="E7" s="27">
        <v>3.0</v>
      </c>
      <c r="F7" s="28">
        <v>0.0</v>
      </c>
      <c r="G7" s="29" t="s">
        <v>28</v>
      </c>
      <c r="H7" s="87"/>
      <c r="I7" s="83">
        <v>400000.0</v>
      </c>
      <c r="J7" s="74">
        <v>40000.0</v>
      </c>
      <c r="K7" s="33">
        <v>0.5</v>
      </c>
      <c r="L7" s="84">
        <f t="shared" si="2"/>
        <v>20000</v>
      </c>
      <c r="M7" s="76">
        <f t="shared" si="3"/>
        <v>3</v>
      </c>
      <c r="N7" s="36">
        <f t="shared" si="4"/>
        <v>60000</v>
      </c>
      <c r="O7" s="40"/>
      <c r="P7" s="38"/>
      <c r="Q7" s="38"/>
      <c r="R7" s="31"/>
    </row>
    <row r="8" ht="16.5" customHeight="1">
      <c r="A8" s="29">
        <v>5.0</v>
      </c>
      <c r="B8" s="25" t="s">
        <v>138</v>
      </c>
      <c r="C8" s="26" t="s">
        <v>5</v>
      </c>
      <c r="D8" s="27">
        <v>20.0</v>
      </c>
      <c r="E8" s="27">
        <v>0.0</v>
      </c>
      <c r="F8" s="28">
        <v>5.0</v>
      </c>
      <c r="G8" s="29" t="s">
        <v>28</v>
      </c>
      <c r="H8" s="87"/>
      <c r="I8" s="83">
        <v>400000.0</v>
      </c>
      <c r="J8" s="74">
        <v>40000.0</v>
      </c>
      <c r="K8" s="33">
        <v>0.5</v>
      </c>
      <c r="L8" s="84">
        <f t="shared" si="2"/>
        <v>20000</v>
      </c>
      <c r="M8" s="76">
        <f t="shared" si="3"/>
        <v>0</v>
      </c>
      <c r="N8" s="36">
        <f t="shared" si="4"/>
        <v>0</v>
      </c>
      <c r="O8" s="37"/>
      <c r="P8" s="38"/>
      <c r="Q8" s="38"/>
      <c r="R8" s="31"/>
    </row>
    <row r="9" ht="16.5" customHeight="1">
      <c r="A9" s="29">
        <v>6.0</v>
      </c>
      <c r="B9" s="25" t="s">
        <v>139</v>
      </c>
      <c r="C9" s="26" t="s">
        <v>5</v>
      </c>
      <c r="D9" s="27">
        <v>10.0</v>
      </c>
      <c r="E9" s="27">
        <v>0.0</v>
      </c>
      <c r="F9" s="28">
        <v>1.0</v>
      </c>
      <c r="G9" s="29" t="s">
        <v>28</v>
      </c>
      <c r="H9" s="87"/>
      <c r="I9" s="83">
        <v>400000.0</v>
      </c>
      <c r="J9" s="74">
        <v>40000.0</v>
      </c>
      <c r="K9" s="33">
        <v>0.5</v>
      </c>
      <c r="L9" s="84">
        <f t="shared" si="2"/>
        <v>20000</v>
      </c>
      <c r="M9" s="76">
        <f t="shared" si="3"/>
        <v>0</v>
      </c>
      <c r="N9" s="36">
        <f t="shared" si="4"/>
        <v>0</v>
      </c>
      <c r="O9" s="37"/>
      <c r="P9" s="38"/>
      <c r="Q9" s="42"/>
      <c r="R9" s="31">
        <f t="shared" ref="R9:R27" si="6">IF(P9="현금",Q9,Q9/1.1)</f>
        <v>0</v>
      </c>
    </row>
    <row r="10" ht="16.5" customHeight="1">
      <c r="A10" s="29">
        <v>7.0</v>
      </c>
      <c r="B10" s="25" t="s">
        <v>140</v>
      </c>
      <c r="C10" s="26" t="s">
        <v>5</v>
      </c>
      <c r="D10" s="27">
        <v>30.0</v>
      </c>
      <c r="E10" s="27">
        <v>0.0</v>
      </c>
      <c r="F10" s="28">
        <v>14.0</v>
      </c>
      <c r="G10" s="29" t="s">
        <v>28</v>
      </c>
      <c r="H10" s="87"/>
      <c r="I10" s="83">
        <v>400000.0</v>
      </c>
      <c r="J10" s="74">
        <v>40000.0</v>
      </c>
      <c r="K10" s="33">
        <v>0.5</v>
      </c>
      <c r="L10" s="84">
        <f t="shared" si="2"/>
        <v>20000</v>
      </c>
      <c r="M10" s="76">
        <f t="shared" si="3"/>
        <v>0</v>
      </c>
      <c r="N10" s="36">
        <f t="shared" si="4"/>
        <v>0</v>
      </c>
      <c r="O10" s="37"/>
      <c r="P10" s="38"/>
      <c r="Q10" s="38"/>
      <c r="R10" s="31">
        <f t="shared" si="6"/>
        <v>0</v>
      </c>
    </row>
    <row r="11" ht="16.5" customHeight="1">
      <c r="A11" s="29">
        <v>8.0</v>
      </c>
      <c r="B11" s="25" t="s">
        <v>141</v>
      </c>
      <c r="C11" s="26" t="s">
        <v>4</v>
      </c>
      <c r="D11" s="27">
        <v>10.0</v>
      </c>
      <c r="E11" s="27">
        <v>3.0</v>
      </c>
      <c r="F11" s="28">
        <v>7.0</v>
      </c>
      <c r="G11" s="29" t="s">
        <v>28</v>
      </c>
      <c r="H11" s="87"/>
      <c r="I11" s="83">
        <v>400000.0</v>
      </c>
      <c r="J11" s="74">
        <v>40000.0</v>
      </c>
      <c r="K11" s="33">
        <v>0.5</v>
      </c>
      <c r="L11" s="84">
        <f t="shared" si="2"/>
        <v>20000</v>
      </c>
      <c r="M11" s="35">
        <f t="shared" si="3"/>
        <v>3</v>
      </c>
      <c r="N11" s="36">
        <f t="shared" si="4"/>
        <v>60000</v>
      </c>
      <c r="O11" s="37"/>
      <c r="P11" s="38"/>
      <c r="Q11" s="42"/>
      <c r="R11" s="31">
        <f t="shared" si="6"/>
        <v>0</v>
      </c>
    </row>
    <row r="12" ht="16.5" customHeight="1">
      <c r="A12" s="29">
        <v>9.0</v>
      </c>
      <c r="B12" s="25"/>
      <c r="C12" s="26"/>
      <c r="D12" s="27"/>
      <c r="E12" s="27"/>
      <c r="F12" s="28"/>
      <c r="G12" s="29"/>
      <c r="H12" s="87"/>
      <c r="I12" s="83"/>
      <c r="J12" s="32"/>
      <c r="K12" s="33"/>
      <c r="L12" s="88"/>
      <c r="M12" s="35"/>
      <c r="N12" s="36"/>
      <c r="O12" s="37"/>
      <c r="P12" s="37"/>
      <c r="Q12" s="38"/>
      <c r="R12" s="31">
        <f t="shared" si="6"/>
        <v>0</v>
      </c>
    </row>
    <row r="13" ht="16.5" customHeight="1">
      <c r="A13" s="29">
        <v>10.0</v>
      </c>
      <c r="B13" s="25"/>
      <c r="C13" s="26"/>
      <c r="D13" s="27"/>
      <c r="E13" s="27"/>
      <c r="F13" s="28"/>
      <c r="G13" s="29"/>
      <c r="H13" s="30"/>
      <c r="I13" s="31"/>
      <c r="J13" s="32"/>
      <c r="K13" s="33"/>
      <c r="L13" s="34"/>
      <c r="M13" s="35"/>
      <c r="N13" s="36"/>
      <c r="O13" s="37"/>
      <c r="P13" s="37"/>
      <c r="Q13" s="38"/>
      <c r="R13" s="31">
        <f t="shared" si="6"/>
        <v>0</v>
      </c>
    </row>
    <row r="14" ht="16.5" customHeight="1">
      <c r="A14" s="29">
        <v>11.0</v>
      </c>
      <c r="B14" s="25"/>
      <c r="C14" s="26"/>
      <c r="D14" s="27"/>
      <c r="E14" s="27"/>
      <c r="F14" s="28"/>
      <c r="G14" s="29"/>
      <c r="H14" s="30"/>
      <c r="I14" s="31"/>
      <c r="J14" s="32"/>
      <c r="K14" s="33"/>
      <c r="L14" s="34"/>
      <c r="M14" s="35"/>
      <c r="N14" s="36"/>
      <c r="O14" s="37"/>
      <c r="P14" s="37"/>
      <c r="Q14" s="38"/>
      <c r="R14" s="31">
        <f t="shared" si="6"/>
        <v>0</v>
      </c>
    </row>
    <row r="15" ht="16.5" customHeight="1">
      <c r="A15" s="29">
        <v>12.0</v>
      </c>
      <c r="B15" s="41"/>
      <c r="C15" s="26"/>
      <c r="D15" s="27"/>
      <c r="E15" s="27"/>
      <c r="F15" s="28"/>
      <c r="G15" s="29"/>
      <c r="H15" s="30"/>
      <c r="I15" s="31"/>
      <c r="J15" s="32"/>
      <c r="K15" s="33"/>
      <c r="L15" s="34"/>
      <c r="M15" s="35"/>
      <c r="N15" s="36"/>
      <c r="O15" s="37"/>
      <c r="P15" s="37"/>
      <c r="Q15" s="38"/>
      <c r="R15" s="31">
        <f t="shared" si="6"/>
        <v>0</v>
      </c>
    </row>
    <row r="16" ht="16.5" customHeight="1">
      <c r="A16" s="29">
        <v>13.0</v>
      </c>
      <c r="B16" s="41"/>
      <c r="C16" s="26"/>
      <c r="D16" s="27"/>
      <c r="E16" s="27"/>
      <c r="F16" s="28"/>
      <c r="G16" s="29"/>
      <c r="H16" s="30"/>
      <c r="I16" s="31"/>
      <c r="J16" s="32"/>
      <c r="K16" s="33"/>
      <c r="L16" s="34"/>
      <c r="M16" s="35"/>
      <c r="N16" s="36"/>
      <c r="O16" s="37"/>
      <c r="P16" s="37"/>
      <c r="Q16" s="38"/>
      <c r="R16" s="31">
        <f t="shared" si="6"/>
        <v>0</v>
      </c>
    </row>
    <row r="17" ht="16.5" customHeight="1">
      <c r="A17" s="29">
        <v>14.0</v>
      </c>
      <c r="B17" s="41"/>
      <c r="C17" s="26"/>
      <c r="D17" s="27"/>
      <c r="E17" s="27"/>
      <c r="F17" s="28"/>
      <c r="G17" s="29"/>
      <c r="H17" s="30"/>
      <c r="I17" s="31"/>
      <c r="J17" s="32"/>
      <c r="K17" s="33"/>
      <c r="L17" s="34"/>
      <c r="M17" s="35"/>
      <c r="N17" s="36"/>
      <c r="O17" s="37"/>
      <c r="P17" s="37"/>
      <c r="Q17" s="38"/>
      <c r="R17" s="31">
        <f t="shared" si="6"/>
        <v>0</v>
      </c>
    </row>
    <row r="18" ht="16.5" customHeight="1">
      <c r="A18" s="29">
        <v>15.0</v>
      </c>
      <c r="B18" s="25"/>
      <c r="C18" s="26"/>
      <c r="D18" s="27"/>
      <c r="E18" s="27"/>
      <c r="F18" s="28"/>
      <c r="G18" s="29"/>
      <c r="H18" s="30"/>
      <c r="I18" s="31"/>
      <c r="J18" s="32"/>
      <c r="K18" s="33"/>
      <c r="L18" s="34"/>
      <c r="M18" s="35"/>
      <c r="N18" s="36"/>
      <c r="O18" s="37"/>
      <c r="P18" s="37"/>
      <c r="Q18" s="38"/>
      <c r="R18" s="31">
        <f t="shared" si="6"/>
        <v>0</v>
      </c>
    </row>
    <row r="19" ht="16.5" customHeight="1">
      <c r="A19" s="29">
        <v>16.0</v>
      </c>
      <c r="B19" s="25"/>
      <c r="C19" s="26"/>
      <c r="D19" s="27"/>
      <c r="E19" s="27"/>
      <c r="F19" s="28"/>
      <c r="G19" s="29"/>
      <c r="H19" s="30"/>
      <c r="I19" s="31"/>
      <c r="J19" s="32"/>
      <c r="K19" s="33"/>
      <c r="L19" s="34"/>
      <c r="M19" s="35"/>
      <c r="N19" s="36"/>
      <c r="O19" s="37"/>
      <c r="P19" s="38"/>
      <c r="Q19" s="38"/>
      <c r="R19" s="31">
        <f t="shared" si="6"/>
        <v>0</v>
      </c>
    </row>
    <row r="20" ht="16.5" customHeight="1">
      <c r="A20" s="29">
        <v>17.0</v>
      </c>
      <c r="B20" s="25"/>
      <c r="C20" s="26"/>
      <c r="D20" s="27"/>
      <c r="E20" s="27"/>
      <c r="F20" s="28"/>
      <c r="G20" s="29"/>
      <c r="H20" s="30"/>
      <c r="I20" s="31"/>
      <c r="J20" s="32"/>
      <c r="K20" s="33"/>
      <c r="L20" s="34"/>
      <c r="M20" s="35"/>
      <c r="N20" s="36"/>
      <c r="O20" s="37"/>
      <c r="P20" s="38"/>
      <c r="Q20" s="38"/>
      <c r="R20" s="31">
        <f t="shared" si="6"/>
        <v>0</v>
      </c>
    </row>
    <row r="21" ht="16.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7"/>
      <c r="P21" s="38"/>
      <c r="Q21" s="38"/>
      <c r="R21" s="31">
        <f t="shared" si="6"/>
        <v>0</v>
      </c>
    </row>
    <row r="22" ht="16.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7"/>
      <c r="P22" s="38"/>
      <c r="Q22" s="38"/>
      <c r="R22" s="31">
        <f t="shared" si="6"/>
        <v>0</v>
      </c>
    </row>
    <row r="23" ht="16.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89"/>
      <c r="P23" s="90"/>
      <c r="Q23" s="5"/>
      <c r="R23" s="31">
        <f t="shared" si="6"/>
        <v>0</v>
      </c>
    </row>
    <row r="24" ht="16.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49"/>
      <c r="P24" s="49"/>
      <c r="Q24" s="5"/>
      <c r="R24" s="31">
        <f t="shared" si="6"/>
        <v>0</v>
      </c>
    </row>
    <row r="25" ht="16.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49"/>
      <c r="P25" s="49"/>
      <c r="Q25" s="5"/>
      <c r="R25" s="31">
        <f t="shared" si="6"/>
        <v>0</v>
      </c>
    </row>
    <row r="26" ht="16.5" customHeight="1">
      <c r="A26" s="29">
        <v>23.0</v>
      </c>
      <c r="B26" s="25"/>
      <c r="C26" s="26"/>
      <c r="D26" s="26"/>
      <c r="E26" s="26"/>
      <c r="F26" s="28"/>
      <c r="G26" s="29"/>
      <c r="H26" s="30"/>
      <c r="I26" s="31"/>
      <c r="J26" s="32"/>
      <c r="K26" s="33"/>
      <c r="L26" s="34"/>
      <c r="M26" s="91"/>
      <c r="N26" s="36"/>
      <c r="O26" s="49"/>
      <c r="P26" s="49"/>
      <c r="Q26" s="5"/>
      <c r="R26" s="31">
        <f t="shared" si="6"/>
        <v>0</v>
      </c>
    </row>
    <row r="27" ht="16.5" customHeight="1">
      <c r="A27" s="29">
        <v>24.0</v>
      </c>
      <c r="B27" s="25"/>
      <c r="C27" s="26"/>
      <c r="D27" s="26"/>
      <c r="E27" s="26"/>
      <c r="F27" s="28"/>
      <c r="G27" s="29"/>
      <c r="H27" s="30"/>
      <c r="I27" s="31"/>
      <c r="J27" s="32"/>
      <c r="K27" s="33"/>
      <c r="L27" s="34"/>
      <c r="M27" s="91"/>
      <c r="N27" s="36"/>
      <c r="O27" s="49"/>
      <c r="P27" s="49"/>
      <c r="Q27" s="5"/>
      <c r="R27" s="31">
        <f t="shared" si="6"/>
        <v>0</v>
      </c>
    </row>
    <row r="28" ht="16.5" customHeight="1">
      <c r="A28" s="29">
        <v>25.0</v>
      </c>
      <c r="B28" s="25"/>
      <c r="C28" s="26"/>
      <c r="D28" s="25"/>
      <c r="E28" s="25"/>
      <c r="F28" s="28"/>
      <c r="G28" s="29"/>
      <c r="H28" s="30"/>
      <c r="I28" s="31"/>
      <c r="J28" s="32"/>
      <c r="K28" s="33"/>
      <c r="L28" s="34"/>
      <c r="M28" s="91"/>
      <c r="N28" s="36"/>
      <c r="O28" s="53" t="s">
        <v>97</v>
      </c>
      <c r="P28" s="22"/>
      <c r="Q28" s="23"/>
      <c r="R28" s="51"/>
    </row>
    <row r="29" ht="16.5" customHeight="1">
      <c r="A29" s="29">
        <v>26.0</v>
      </c>
      <c r="B29" s="25"/>
      <c r="C29" s="26"/>
      <c r="D29" s="26"/>
      <c r="E29" s="26"/>
      <c r="F29" s="28"/>
      <c r="G29" s="29"/>
      <c r="H29" s="30"/>
      <c r="I29" s="31"/>
      <c r="J29" s="32"/>
      <c r="K29" s="33"/>
      <c r="L29" s="34"/>
      <c r="M29" s="91"/>
      <c r="N29" s="36"/>
      <c r="O29" s="53" t="s">
        <v>56</v>
      </c>
      <c r="P29" s="22"/>
      <c r="Q29" s="23"/>
      <c r="R29" s="54"/>
    </row>
    <row r="30" ht="16.5" customHeight="1">
      <c r="A30" s="29">
        <v>27.0</v>
      </c>
      <c r="B30" s="25"/>
      <c r="C30" s="26"/>
      <c r="D30" s="26"/>
      <c r="E30" s="26"/>
      <c r="F30" s="28"/>
      <c r="G30" s="29"/>
      <c r="H30" s="30"/>
      <c r="I30" s="31"/>
      <c r="J30" s="32"/>
      <c r="K30" s="33"/>
      <c r="L30" s="34"/>
      <c r="M30" s="35"/>
      <c r="N30" s="36"/>
      <c r="O30" s="53" t="s">
        <v>58</v>
      </c>
      <c r="P30" s="22"/>
      <c r="Q30" s="23"/>
      <c r="R30" s="54"/>
    </row>
    <row r="31" ht="16.5" customHeight="1">
      <c r="A31" s="29">
        <v>28.0</v>
      </c>
      <c r="B31" s="43"/>
      <c r="C31" s="27"/>
      <c r="D31" s="27"/>
      <c r="E31" s="27"/>
      <c r="F31" s="28"/>
      <c r="G31" s="29"/>
      <c r="H31" s="30"/>
      <c r="I31" s="31"/>
      <c r="J31" s="32"/>
      <c r="K31" s="33"/>
      <c r="L31" s="34"/>
      <c r="M31" s="29"/>
      <c r="N31" s="36"/>
      <c r="O31" s="57" t="s">
        <v>130</v>
      </c>
      <c r="P31" s="2"/>
      <c r="Q31" s="3"/>
      <c r="R31" s="58">
        <v>500000.0</v>
      </c>
    </row>
    <row r="32" ht="16.5" customHeight="1">
      <c r="A32" s="29">
        <v>29.0</v>
      </c>
      <c r="B32" s="43"/>
      <c r="C32" s="27"/>
      <c r="D32" s="43"/>
      <c r="E32" s="43"/>
      <c r="F32" s="28"/>
      <c r="G32" s="29"/>
      <c r="H32" s="30"/>
      <c r="I32" s="31"/>
      <c r="J32" s="32"/>
      <c r="K32" s="33"/>
      <c r="L32" s="34"/>
      <c r="M32" s="81"/>
      <c r="N32" s="36"/>
      <c r="O32" s="59"/>
      <c r="P32" s="60"/>
      <c r="Q32" s="61"/>
      <c r="R32" s="62"/>
    </row>
    <row r="33" ht="16.5" customHeight="1">
      <c r="A33" s="29">
        <v>30.0</v>
      </c>
      <c r="B33" s="43"/>
      <c r="C33" s="27"/>
      <c r="D33" s="27"/>
      <c r="E33" s="27"/>
      <c r="F33" s="28"/>
      <c r="G33" s="29"/>
      <c r="H33" s="30"/>
      <c r="I33" s="31"/>
      <c r="J33" s="32"/>
      <c r="K33" s="33"/>
      <c r="L33" s="34"/>
      <c r="M33" s="81"/>
      <c r="N33" s="36"/>
      <c r="O33" s="57" t="s">
        <v>131</v>
      </c>
      <c r="P33" s="2"/>
      <c r="Q33" s="3"/>
      <c r="R33" s="63">
        <f>SUMIF(N4:N45,"&gt;0",N4:N45)</f>
        <v>220000</v>
      </c>
    </row>
    <row r="34" ht="16.5" customHeight="1">
      <c r="A34" s="29">
        <v>31.0</v>
      </c>
      <c r="B34" s="43"/>
      <c r="C34" s="27"/>
      <c r="D34" s="27"/>
      <c r="E34" s="27"/>
      <c r="F34" s="28"/>
      <c r="G34" s="29"/>
      <c r="H34" s="30"/>
      <c r="I34" s="31"/>
      <c r="J34" s="32"/>
      <c r="K34" s="33"/>
      <c r="L34" s="34"/>
      <c r="M34" s="81"/>
      <c r="N34" s="36"/>
      <c r="O34" s="59"/>
      <c r="P34" s="60"/>
      <c r="Q34" s="61"/>
      <c r="R34" s="62"/>
    </row>
    <row r="35" ht="16.5" customHeight="1">
      <c r="A35" s="29">
        <v>32.0</v>
      </c>
      <c r="B35" s="43"/>
      <c r="C35" s="27"/>
      <c r="D35" s="43"/>
      <c r="E35" s="43"/>
      <c r="F35" s="28"/>
      <c r="G35" s="29"/>
      <c r="H35" s="44"/>
      <c r="I35" s="31"/>
      <c r="J35" s="32"/>
      <c r="K35" s="33"/>
      <c r="L35" s="34"/>
      <c r="M35" s="81"/>
      <c r="N35" s="36"/>
      <c r="O35" s="57" t="s">
        <v>63</v>
      </c>
      <c r="P35" s="2"/>
      <c r="Q35" s="3"/>
      <c r="R35" s="63">
        <f>R31+R33</f>
        <v>720000</v>
      </c>
    </row>
    <row r="36" ht="16.5" customHeight="1">
      <c r="A36" s="29">
        <v>33.0</v>
      </c>
      <c r="B36" s="43"/>
      <c r="C36" s="27"/>
      <c r="D36" s="27"/>
      <c r="E36" s="27"/>
      <c r="F36" s="28"/>
      <c r="G36" s="29"/>
      <c r="H36" s="30"/>
      <c r="I36" s="31"/>
      <c r="J36" s="32"/>
      <c r="K36" s="33"/>
      <c r="L36" s="34"/>
      <c r="M36" s="81"/>
      <c r="N36" s="36"/>
      <c r="O36" s="59"/>
      <c r="P36" s="60"/>
      <c r="Q36" s="61"/>
      <c r="R36" s="62"/>
    </row>
    <row r="37" ht="16.5" customHeight="1">
      <c r="A37" s="29">
        <v>34.0</v>
      </c>
      <c r="B37" s="43"/>
      <c r="C37" s="27"/>
      <c r="D37" s="43"/>
      <c r="E37" s="43"/>
      <c r="F37" s="28"/>
      <c r="G37" s="29"/>
      <c r="H37" s="44"/>
      <c r="I37" s="31"/>
      <c r="J37" s="32"/>
      <c r="K37" s="33"/>
      <c r="L37" s="34"/>
      <c r="M37" s="81"/>
      <c r="N37" s="36"/>
      <c r="O37" s="67" t="s">
        <v>104</v>
      </c>
      <c r="P37" s="22"/>
      <c r="Q37" s="22"/>
      <c r="R37" s="23"/>
    </row>
    <row r="38" ht="16.5" customHeight="1">
      <c r="A38" s="29">
        <v>35.0</v>
      </c>
      <c r="B38" s="43"/>
      <c r="C38" s="27"/>
      <c r="D38" s="27"/>
      <c r="E38" s="27"/>
      <c r="F38" s="28"/>
      <c r="G38" s="29"/>
      <c r="H38" s="44"/>
      <c r="I38" s="31"/>
      <c r="J38" s="32"/>
      <c r="K38" s="33"/>
      <c r="L38" s="34"/>
      <c r="M38" s="81"/>
      <c r="N38" s="36"/>
      <c r="O38" s="67" t="s">
        <v>132</v>
      </c>
      <c r="P38" s="22"/>
      <c r="Q38" s="22"/>
      <c r="R38" s="23"/>
    </row>
    <row r="39" ht="16.5" customHeight="1">
      <c r="A39" s="29">
        <v>36.0</v>
      </c>
      <c r="B39" s="43"/>
      <c r="C39" s="27"/>
      <c r="D39" s="27"/>
      <c r="E39" s="27"/>
      <c r="F39" s="28"/>
      <c r="G39" s="29"/>
      <c r="H39" s="48"/>
      <c r="I39" s="31"/>
      <c r="J39" s="32"/>
      <c r="K39" s="33"/>
      <c r="L39" s="34"/>
      <c r="M39" s="81"/>
      <c r="N39" s="36"/>
      <c r="O39" s="67" t="s">
        <v>106</v>
      </c>
      <c r="P39" s="22"/>
      <c r="Q39" s="22"/>
      <c r="R39" s="23"/>
    </row>
    <row r="40" ht="16.5" customHeight="1">
      <c r="A40" s="29">
        <v>37.0</v>
      </c>
      <c r="B40" s="43"/>
      <c r="C40" s="27"/>
      <c r="D40" s="27"/>
      <c r="E40" s="27"/>
      <c r="F40" s="28"/>
      <c r="G40" s="29"/>
      <c r="H40" s="48"/>
      <c r="I40" s="31"/>
      <c r="J40" s="32"/>
      <c r="K40" s="33"/>
      <c r="L40" s="34"/>
      <c r="M40" s="81"/>
      <c r="N40" s="36"/>
      <c r="O40" s="67" t="s">
        <v>108</v>
      </c>
      <c r="P40" s="22"/>
      <c r="Q40" s="22"/>
      <c r="R40" s="23"/>
    </row>
    <row r="41" ht="16.5" customHeight="1">
      <c r="A41" s="29">
        <v>38.0</v>
      </c>
      <c r="B41" s="43"/>
      <c r="C41" s="27"/>
      <c r="D41" s="27"/>
      <c r="E41" s="27"/>
      <c r="F41" s="28"/>
      <c r="G41" s="29"/>
      <c r="H41" s="48"/>
      <c r="I41" s="31"/>
      <c r="J41" s="32"/>
      <c r="K41" s="33"/>
      <c r="L41" s="34"/>
      <c r="M41" s="81"/>
      <c r="N41" s="36"/>
      <c r="O41" s="67" t="s">
        <v>110</v>
      </c>
      <c r="P41" s="22"/>
      <c r="Q41" s="22"/>
      <c r="R41" s="23"/>
    </row>
    <row r="42" ht="16.5" customHeight="1">
      <c r="A42" s="29">
        <v>39.0</v>
      </c>
      <c r="B42" s="43"/>
      <c r="C42" s="27"/>
      <c r="D42" s="27"/>
      <c r="E42" s="27"/>
      <c r="F42" s="28"/>
      <c r="G42" s="29"/>
      <c r="H42" s="48"/>
      <c r="I42" s="31"/>
      <c r="J42" s="32"/>
      <c r="K42" s="33"/>
      <c r="L42" s="34"/>
      <c r="M42" s="81"/>
      <c r="N42" s="36"/>
      <c r="O42" s="67" t="s">
        <v>111</v>
      </c>
      <c r="P42" s="22"/>
      <c r="Q42" s="22"/>
      <c r="R42" s="23"/>
    </row>
    <row r="43" ht="16.5" customHeight="1">
      <c r="A43" s="29">
        <v>40.0</v>
      </c>
      <c r="B43" s="43"/>
      <c r="C43" s="27"/>
      <c r="D43" s="27"/>
      <c r="E43" s="27"/>
      <c r="F43" s="28"/>
      <c r="G43" s="29"/>
      <c r="H43" s="48"/>
      <c r="I43" s="31"/>
      <c r="J43" s="32"/>
      <c r="K43" s="33"/>
      <c r="L43" s="34"/>
      <c r="M43" s="81"/>
      <c r="N43" s="36"/>
      <c r="O43" s="67" t="s">
        <v>112</v>
      </c>
      <c r="P43" s="22"/>
      <c r="Q43" s="22"/>
      <c r="R43" s="23"/>
    </row>
    <row r="44" ht="16.5" customHeight="1">
      <c r="A44" s="29">
        <v>41.0</v>
      </c>
      <c r="B44" s="43"/>
      <c r="C44" s="27"/>
      <c r="D44" s="27"/>
      <c r="E44" s="27"/>
      <c r="F44" s="28"/>
      <c r="G44" s="29"/>
      <c r="H44" s="48"/>
      <c r="I44" s="31"/>
      <c r="J44" s="32"/>
      <c r="K44" s="33"/>
      <c r="L44" s="34"/>
      <c r="M44" s="81"/>
      <c r="N44" s="36"/>
      <c r="O44" s="67" t="s">
        <v>113</v>
      </c>
      <c r="P44" s="22"/>
      <c r="Q44" s="22"/>
      <c r="R44" s="23"/>
    </row>
    <row r="45" ht="16.5" customHeight="1">
      <c r="A45" s="29">
        <v>42.0</v>
      </c>
      <c r="B45" s="43"/>
      <c r="C45" s="27"/>
      <c r="D45" s="27"/>
      <c r="E45" s="27"/>
      <c r="F45" s="28"/>
      <c r="G45" s="29"/>
      <c r="H45" s="48"/>
      <c r="I45" s="31"/>
      <c r="J45" s="32"/>
      <c r="K45" s="33"/>
      <c r="L45" s="34"/>
      <c r="M45" s="81"/>
      <c r="N45" s="36"/>
      <c r="O45" s="67" t="s">
        <v>114</v>
      </c>
      <c r="P45" s="22"/>
      <c r="Q45" s="22"/>
      <c r="R45" s="23"/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H2"/>
    <mergeCell ref="O3:R3"/>
    <mergeCell ref="O28:Q28"/>
    <mergeCell ref="O29:Q29"/>
    <mergeCell ref="O30:Q30"/>
    <mergeCell ref="O31:Q32"/>
    <mergeCell ref="R31:R32"/>
    <mergeCell ref="O40:R40"/>
    <mergeCell ref="O41:R41"/>
    <mergeCell ref="O42:R42"/>
    <mergeCell ref="O43:R43"/>
    <mergeCell ref="O44:R44"/>
    <mergeCell ref="O45:R45"/>
    <mergeCell ref="O33:Q34"/>
    <mergeCell ref="R33:R34"/>
    <mergeCell ref="O35:Q36"/>
    <mergeCell ref="R35:R36"/>
    <mergeCell ref="O37:R37"/>
    <mergeCell ref="O38:R38"/>
    <mergeCell ref="O39:R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86"/>
    <col customWidth="1" min="9" max="9" width="12.14"/>
    <col customWidth="1" min="10" max="13" width="8.71"/>
    <col customWidth="1" min="14" max="14" width="11.14"/>
    <col customWidth="1" min="15" max="16" width="8.71"/>
    <col customWidth="1" min="17" max="17" width="13.14"/>
    <col customWidth="1" min="18" max="18" width="18.71"/>
    <col customWidth="1" min="19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142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</row>
    <row r="2" ht="16.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74</v>
      </c>
      <c r="K2" s="14">
        <f>COUNTA(B4:B45)</f>
        <v>10</v>
      </c>
      <c r="L2" s="14">
        <f>COUNTIFS(C4:C45,"남")</f>
        <v>4</v>
      </c>
      <c r="M2" s="14">
        <f>COUNTIFS(C4:C45,"여")</f>
        <v>6</v>
      </c>
      <c r="N2" s="15">
        <v>40000.0</v>
      </c>
      <c r="O2" s="16">
        <f>SUM(M4:M45)</f>
        <v>48</v>
      </c>
      <c r="P2" s="17">
        <f>SUM(F4:F45)</f>
        <v>122</v>
      </c>
      <c r="Q2" s="93">
        <v>4620000.0</v>
      </c>
      <c r="R2" s="93">
        <v>4200000.0</v>
      </c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</row>
    <row r="4" ht="16.5" customHeight="1">
      <c r="A4" s="24">
        <v>1.0</v>
      </c>
      <c r="B4" s="69" t="s">
        <v>143</v>
      </c>
      <c r="C4" s="70" t="s">
        <v>5</v>
      </c>
      <c r="D4" s="71">
        <v>50.0</v>
      </c>
      <c r="E4" s="71">
        <v>10.0</v>
      </c>
      <c r="F4" s="72">
        <v>40.0</v>
      </c>
      <c r="G4" s="24" t="s">
        <v>32</v>
      </c>
      <c r="H4" s="82">
        <v>2200000.0</v>
      </c>
      <c r="I4" s="83">
        <v>2000000.0</v>
      </c>
      <c r="J4" s="74">
        <v>40000.0</v>
      </c>
      <c r="K4" s="33">
        <v>0.5</v>
      </c>
      <c r="L4" s="84">
        <f t="shared" ref="L4:L13" si="1">PRODUCT(K4,J4)</f>
        <v>20000</v>
      </c>
      <c r="M4" s="76">
        <v>6.0</v>
      </c>
      <c r="N4" s="36">
        <f t="shared" ref="N4:N10" si="2">PRODUCT(M4,L4)</f>
        <v>120000</v>
      </c>
      <c r="O4" s="78" t="s">
        <v>76</v>
      </c>
      <c r="P4" s="78" t="s">
        <v>77</v>
      </c>
      <c r="Q4" s="78" t="s">
        <v>78</v>
      </c>
      <c r="R4" s="78" t="s">
        <v>79</v>
      </c>
    </row>
    <row r="5" ht="16.5" customHeight="1">
      <c r="A5" s="29">
        <v>2.0</v>
      </c>
      <c r="B5" s="25" t="s">
        <v>144</v>
      </c>
      <c r="C5" s="26" t="s">
        <v>5</v>
      </c>
      <c r="D5" s="27">
        <v>20.0</v>
      </c>
      <c r="E5" s="27">
        <v>4.0</v>
      </c>
      <c r="F5" s="28">
        <f t="shared" ref="F5:F20" si="3">D5-E5</f>
        <v>16</v>
      </c>
      <c r="G5" s="29" t="s">
        <v>28</v>
      </c>
      <c r="H5" s="87">
        <v>880000.0</v>
      </c>
      <c r="I5" s="83">
        <f t="shared" ref="I5:I13" si="4">IF(G5="현금",H5,H5/1.1)</f>
        <v>800000</v>
      </c>
      <c r="J5" s="32">
        <f t="shared" ref="J5:J13" si="5">I5/D5</f>
        <v>40000</v>
      </c>
      <c r="K5" s="33">
        <v>0.5</v>
      </c>
      <c r="L5" s="88">
        <f t="shared" si="1"/>
        <v>20000</v>
      </c>
      <c r="M5" s="35">
        <v>4.0</v>
      </c>
      <c r="N5" s="36">
        <f t="shared" si="2"/>
        <v>80000</v>
      </c>
      <c r="O5" s="37" t="s">
        <v>144</v>
      </c>
      <c r="P5" s="29" t="s">
        <v>28</v>
      </c>
      <c r="Q5" s="87">
        <v>880000.0</v>
      </c>
      <c r="R5" s="83">
        <f t="shared" ref="R5:R25" si="6">IF(P5="현금",Q5,Q5/1.1)</f>
        <v>800000</v>
      </c>
    </row>
    <row r="6" ht="16.5" customHeight="1">
      <c r="A6" s="29">
        <v>3.0</v>
      </c>
      <c r="B6" s="25" t="s">
        <v>145</v>
      </c>
      <c r="C6" s="26" t="s">
        <v>5</v>
      </c>
      <c r="D6" s="27">
        <v>18.0</v>
      </c>
      <c r="E6" s="27">
        <v>7.0</v>
      </c>
      <c r="F6" s="28">
        <f t="shared" si="3"/>
        <v>11</v>
      </c>
      <c r="G6" s="29" t="s">
        <v>146</v>
      </c>
      <c r="H6" s="87">
        <v>792000.0</v>
      </c>
      <c r="I6" s="83">
        <f t="shared" si="4"/>
        <v>720000</v>
      </c>
      <c r="J6" s="32">
        <f t="shared" si="5"/>
        <v>40000</v>
      </c>
      <c r="K6" s="33">
        <v>0.5</v>
      </c>
      <c r="L6" s="88">
        <f t="shared" si="1"/>
        <v>20000</v>
      </c>
      <c r="M6" s="35">
        <v>7.0</v>
      </c>
      <c r="N6" s="36">
        <f t="shared" si="2"/>
        <v>140000</v>
      </c>
      <c r="O6" s="37" t="s">
        <v>145</v>
      </c>
      <c r="P6" s="29" t="s">
        <v>146</v>
      </c>
      <c r="Q6" s="87">
        <v>792000.0</v>
      </c>
      <c r="R6" s="83">
        <f t="shared" si="6"/>
        <v>720000</v>
      </c>
    </row>
    <row r="7" ht="16.5" customHeight="1">
      <c r="A7" s="29">
        <v>4.0</v>
      </c>
      <c r="B7" s="25" t="s">
        <v>147</v>
      </c>
      <c r="C7" s="26" t="s">
        <v>4</v>
      </c>
      <c r="D7" s="27">
        <v>10.0</v>
      </c>
      <c r="E7" s="27">
        <v>5.0</v>
      </c>
      <c r="F7" s="28">
        <f t="shared" si="3"/>
        <v>5</v>
      </c>
      <c r="G7" s="29" t="s">
        <v>117</v>
      </c>
      <c r="H7" s="87">
        <v>440000.0</v>
      </c>
      <c r="I7" s="83">
        <f t="shared" si="4"/>
        <v>400000</v>
      </c>
      <c r="J7" s="32">
        <f t="shared" si="5"/>
        <v>40000</v>
      </c>
      <c r="K7" s="33">
        <v>0.5</v>
      </c>
      <c r="L7" s="88">
        <f t="shared" si="1"/>
        <v>20000</v>
      </c>
      <c r="M7" s="35">
        <v>5.0</v>
      </c>
      <c r="N7" s="36">
        <f t="shared" si="2"/>
        <v>100000</v>
      </c>
      <c r="O7" s="40" t="s">
        <v>147</v>
      </c>
      <c r="P7" s="29" t="s">
        <v>117</v>
      </c>
      <c r="Q7" s="87">
        <v>440000.0</v>
      </c>
      <c r="R7" s="83">
        <f t="shared" si="6"/>
        <v>400000</v>
      </c>
    </row>
    <row r="8" ht="16.5" customHeight="1">
      <c r="A8" s="29">
        <v>5.0</v>
      </c>
      <c r="B8" s="25" t="s">
        <v>41</v>
      </c>
      <c r="C8" s="26" t="s">
        <v>5</v>
      </c>
      <c r="D8" s="27">
        <v>10.0</v>
      </c>
      <c r="E8" s="27">
        <v>6.0</v>
      </c>
      <c r="F8" s="28">
        <f t="shared" si="3"/>
        <v>4</v>
      </c>
      <c r="G8" s="29" t="s">
        <v>28</v>
      </c>
      <c r="H8" s="87">
        <v>440000.0</v>
      </c>
      <c r="I8" s="83">
        <f t="shared" si="4"/>
        <v>400000</v>
      </c>
      <c r="J8" s="32">
        <f t="shared" si="5"/>
        <v>40000</v>
      </c>
      <c r="K8" s="33">
        <v>0.5</v>
      </c>
      <c r="L8" s="88">
        <f t="shared" si="1"/>
        <v>20000</v>
      </c>
      <c r="M8" s="35">
        <v>6.0</v>
      </c>
      <c r="N8" s="36">
        <f t="shared" si="2"/>
        <v>120000</v>
      </c>
      <c r="O8" s="25" t="s">
        <v>148</v>
      </c>
      <c r="P8" s="29" t="s">
        <v>117</v>
      </c>
      <c r="Q8" s="87">
        <v>220000.0</v>
      </c>
      <c r="R8" s="83">
        <f t="shared" si="6"/>
        <v>200000</v>
      </c>
    </row>
    <row r="9" ht="16.5" customHeight="1">
      <c r="A9" s="29">
        <v>6.0</v>
      </c>
      <c r="B9" s="25" t="s">
        <v>148</v>
      </c>
      <c r="C9" s="26" t="s">
        <v>4</v>
      </c>
      <c r="D9" s="27">
        <v>5.0</v>
      </c>
      <c r="E9" s="27">
        <v>2.0</v>
      </c>
      <c r="F9" s="28">
        <f t="shared" si="3"/>
        <v>3</v>
      </c>
      <c r="G9" s="29" t="s">
        <v>117</v>
      </c>
      <c r="H9" s="87">
        <v>220000.0</v>
      </c>
      <c r="I9" s="83">
        <f t="shared" si="4"/>
        <v>200000</v>
      </c>
      <c r="J9" s="32">
        <f t="shared" si="5"/>
        <v>40000</v>
      </c>
      <c r="K9" s="33">
        <v>0.5</v>
      </c>
      <c r="L9" s="88">
        <f t="shared" si="1"/>
        <v>20000</v>
      </c>
      <c r="M9" s="35">
        <v>3.0</v>
      </c>
      <c r="N9" s="36">
        <f t="shared" si="2"/>
        <v>60000</v>
      </c>
      <c r="O9" s="25" t="s">
        <v>45</v>
      </c>
      <c r="P9" s="29" t="s">
        <v>28</v>
      </c>
      <c r="Q9" s="87">
        <v>440000.0</v>
      </c>
      <c r="R9" s="83">
        <f t="shared" si="6"/>
        <v>400000</v>
      </c>
    </row>
    <row r="10" ht="16.5" customHeight="1">
      <c r="A10" s="29">
        <v>7.0</v>
      </c>
      <c r="B10" s="25" t="s">
        <v>45</v>
      </c>
      <c r="C10" s="26" t="s">
        <v>5</v>
      </c>
      <c r="D10" s="27">
        <v>10.0</v>
      </c>
      <c r="E10" s="27">
        <v>3.0</v>
      </c>
      <c r="F10" s="28">
        <f t="shared" si="3"/>
        <v>7</v>
      </c>
      <c r="G10" s="29" t="s">
        <v>28</v>
      </c>
      <c r="H10" s="87">
        <v>440000.0</v>
      </c>
      <c r="I10" s="83">
        <f t="shared" si="4"/>
        <v>400000</v>
      </c>
      <c r="J10" s="32">
        <f t="shared" si="5"/>
        <v>40000</v>
      </c>
      <c r="K10" s="33">
        <v>0.5</v>
      </c>
      <c r="L10" s="88">
        <f t="shared" si="1"/>
        <v>20000</v>
      </c>
      <c r="M10" s="35">
        <v>3.0</v>
      </c>
      <c r="N10" s="36">
        <f t="shared" si="2"/>
        <v>60000</v>
      </c>
      <c r="O10" s="25" t="s">
        <v>149</v>
      </c>
      <c r="P10" s="29" t="s">
        <v>117</v>
      </c>
      <c r="Q10" s="87">
        <v>880000.0</v>
      </c>
      <c r="R10" s="83">
        <f t="shared" si="6"/>
        <v>800000</v>
      </c>
    </row>
    <row r="11" ht="16.5" customHeight="1">
      <c r="A11" s="29">
        <v>8.0</v>
      </c>
      <c r="B11" s="25" t="s">
        <v>43</v>
      </c>
      <c r="C11" s="26" t="s">
        <v>5</v>
      </c>
      <c r="D11" s="27">
        <v>20.0</v>
      </c>
      <c r="E11" s="27">
        <v>6.0</v>
      </c>
      <c r="F11" s="28">
        <f t="shared" si="3"/>
        <v>14</v>
      </c>
      <c r="G11" s="29" t="s">
        <v>117</v>
      </c>
      <c r="H11" s="87">
        <v>880000.0</v>
      </c>
      <c r="I11" s="83">
        <f t="shared" si="4"/>
        <v>800000</v>
      </c>
      <c r="J11" s="32">
        <f t="shared" si="5"/>
        <v>40000</v>
      </c>
      <c r="K11" s="33">
        <v>0.5</v>
      </c>
      <c r="L11" s="88">
        <f t="shared" si="1"/>
        <v>20000</v>
      </c>
      <c r="M11" s="35">
        <v>6.0</v>
      </c>
      <c r="N11" s="36">
        <v>120000.0</v>
      </c>
      <c r="O11" s="25" t="s">
        <v>150</v>
      </c>
      <c r="P11" s="29" t="s">
        <v>28</v>
      </c>
      <c r="Q11" s="30">
        <v>440000.0</v>
      </c>
      <c r="R11" s="31">
        <f t="shared" si="6"/>
        <v>400000</v>
      </c>
    </row>
    <row r="12" ht="16.5" customHeight="1">
      <c r="A12" s="29">
        <v>9.0</v>
      </c>
      <c r="B12" s="25" t="s">
        <v>149</v>
      </c>
      <c r="C12" s="26" t="s">
        <v>4</v>
      </c>
      <c r="D12" s="27">
        <v>20.0</v>
      </c>
      <c r="E12" s="27">
        <v>5.0</v>
      </c>
      <c r="F12" s="28">
        <f t="shared" si="3"/>
        <v>15</v>
      </c>
      <c r="G12" s="29" t="s">
        <v>117</v>
      </c>
      <c r="H12" s="87">
        <v>880000.0</v>
      </c>
      <c r="I12" s="83">
        <f t="shared" si="4"/>
        <v>800000</v>
      </c>
      <c r="J12" s="32">
        <f t="shared" si="5"/>
        <v>40000</v>
      </c>
      <c r="K12" s="33">
        <v>0.5</v>
      </c>
      <c r="L12" s="88">
        <f t="shared" si="1"/>
        <v>20000</v>
      </c>
      <c r="M12" s="35">
        <v>5.0</v>
      </c>
      <c r="N12" s="36">
        <v>100000.0</v>
      </c>
      <c r="O12" s="37"/>
      <c r="P12" s="37"/>
      <c r="Q12" s="38"/>
      <c r="R12" s="31">
        <f t="shared" si="6"/>
        <v>0</v>
      </c>
    </row>
    <row r="13" ht="16.5" customHeight="1">
      <c r="A13" s="29">
        <v>10.0</v>
      </c>
      <c r="B13" s="25" t="s">
        <v>150</v>
      </c>
      <c r="C13" s="26" t="s">
        <v>4</v>
      </c>
      <c r="D13" s="27">
        <v>10.0</v>
      </c>
      <c r="E13" s="27">
        <v>3.0</v>
      </c>
      <c r="F13" s="28">
        <f t="shared" si="3"/>
        <v>7</v>
      </c>
      <c r="G13" s="29" t="s">
        <v>28</v>
      </c>
      <c r="H13" s="30">
        <v>440000.0</v>
      </c>
      <c r="I13" s="31">
        <f t="shared" si="4"/>
        <v>400000</v>
      </c>
      <c r="J13" s="32">
        <f t="shared" si="5"/>
        <v>40000</v>
      </c>
      <c r="K13" s="33">
        <v>0.5</v>
      </c>
      <c r="L13" s="88">
        <f t="shared" si="1"/>
        <v>20000</v>
      </c>
      <c r="M13" s="35">
        <v>3.0</v>
      </c>
      <c r="N13" s="36">
        <v>60000.0</v>
      </c>
      <c r="O13" s="37"/>
      <c r="P13" s="37"/>
      <c r="Q13" s="38"/>
      <c r="R13" s="31">
        <f t="shared" si="6"/>
        <v>0</v>
      </c>
    </row>
    <row r="14" ht="16.5" customHeight="1">
      <c r="A14" s="29">
        <v>11.0</v>
      </c>
      <c r="B14" s="25"/>
      <c r="C14" s="26"/>
      <c r="D14" s="27"/>
      <c r="E14" s="27"/>
      <c r="F14" s="28">
        <f t="shared" si="3"/>
        <v>0</v>
      </c>
      <c r="G14" s="29"/>
      <c r="H14" s="30"/>
      <c r="I14" s="31"/>
      <c r="J14" s="32"/>
      <c r="K14" s="33"/>
      <c r="L14" s="34"/>
      <c r="M14" s="35"/>
      <c r="N14" s="36"/>
      <c r="O14" s="37"/>
      <c r="P14" s="37"/>
      <c r="Q14" s="38"/>
      <c r="R14" s="31">
        <f t="shared" si="6"/>
        <v>0</v>
      </c>
    </row>
    <row r="15" ht="16.5" customHeight="1">
      <c r="A15" s="29">
        <v>12.0</v>
      </c>
      <c r="B15" s="41"/>
      <c r="C15" s="26"/>
      <c r="D15" s="27"/>
      <c r="E15" s="27"/>
      <c r="F15" s="28">
        <f t="shared" si="3"/>
        <v>0</v>
      </c>
      <c r="G15" s="29"/>
      <c r="H15" s="30"/>
      <c r="I15" s="31"/>
      <c r="J15" s="32"/>
      <c r="K15" s="33"/>
      <c r="L15" s="34"/>
      <c r="M15" s="35"/>
      <c r="N15" s="36"/>
      <c r="O15" s="37"/>
      <c r="P15" s="37"/>
      <c r="Q15" s="38"/>
      <c r="R15" s="31">
        <f t="shared" si="6"/>
        <v>0</v>
      </c>
    </row>
    <row r="16" ht="16.5" customHeight="1">
      <c r="A16" s="29">
        <v>13.0</v>
      </c>
      <c r="B16" s="41"/>
      <c r="C16" s="26"/>
      <c r="D16" s="27"/>
      <c r="E16" s="27"/>
      <c r="F16" s="28">
        <f t="shared" si="3"/>
        <v>0</v>
      </c>
      <c r="G16" s="29"/>
      <c r="H16" s="30"/>
      <c r="I16" s="31"/>
      <c r="J16" s="32"/>
      <c r="K16" s="33"/>
      <c r="L16" s="34"/>
      <c r="M16" s="35"/>
      <c r="N16" s="36"/>
      <c r="O16" s="37"/>
      <c r="P16" s="37"/>
      <c r="Q16" s="38"/>
      <c r="R16" s="31">
        <f t="shared" si="6"/>
        <v>0</v>
      </c>
    </row>
    <row r="17" ht="16.5" customHeight="1">
      <c r="A17" s="29">
        <v>14.0</v>
      </c>
      <c r="B17" s="41"/>
      <c r="C17" s="26"/>
      <c r="D17" s="27"/>
      <c r="E17" s="27"/>
      <c r="F17" s="28">
        <f t="shared" si="3"/>
        <v>0</v>
      </c>
      <c r="G17" s="29"/>
      <c r="H17" s="30"/>
      <c r="I17" s="31"/>
      <c r="J17" s="32"/>
      <c r="K17" s="33"/>
      <c r="L17" s="34"/>
      <c r="M17" s="35"/>
      <c r="N17" s="36"/>
      <c r="O17" s="37"/>
      <c r="P17" s="38"/>
      <c r="Q17" s="38"/>
      <c r="R17" s="31">
        <f t="shared" si="6"/>
        <v>0</v>
      </c>
    </row>
    <row r="18" ht="16.5" customHeight="1">
      <c r="A18" s="29">
        <v>15.0</v>
      </c>
      <c r="B18" s="25"/>
      <c r="C18" s="26"/>
      <c r="D18" s="27"/>
      <c r="E18" s="27"/>
      <c r="F18" s="28">
        <f t="shared" si="3"/>
        <v>0</v>
      </c>
      <c r="G18" s="29"/>
      <c r="H18" s="30"/>
      <c r="I18" s="31"/>
      <c r="J18" s="32"/>
      <c r="K18" s="33"/>
      <c r="L18" s="34"/>
      <c r="M18" s="35"/>
      <c r="N18" s="36"/>
      <c r="O18" s="37"/>
      <c r="P18" s="38"/>
      <c r="Q18" s="38"/>
      <c r="R18" s="31">
        <f t="shared" si="6"/>
        <v>0</v>
      </c>
    </row>
    <row r="19" ht="16.5" customHeight="1">
      <c r="A19" s="29">
        <v>16.0</v>
      </c>
      <c r="B19" s="25"/>
      <c r="C19" s="26"/>
      <c r="D19" s="27"/>
      <c r="E19" s="27"/>
      <c r="F19" s="28">
        <f t="shared" si="3"/>
        <v>0</v>
      </c>
      <c r="G19" s="29"/>
      <c r="H19" s="30"/>
      <c r="I19" s="31"/>
      <c r="J19" s="32"/>
      <c r="K19" s="33"/>
      <c r="L19" s="34"/>
      <c r="M19" s="35"/>
      <c r="N19" s="36"/>
      <c r="O19" s="37"/>
      <c r="P19" s="38"/>
      <c r="Q19" s="38"/>
      <c r="R19" s="31">
        <f t="shared" si="6"/>
        <v>0</v>
      </c>
    </row>
    <row r="20" ht="16.5" customHeight="1">
      <c r="A20" s="29">
        <v>17.0</v>
      </c>
      <c r="B20" s="25"/>
      <c r="C20" s="26"/>
      <c r="D20" s="27"/>
      <c r="E20" s="27"/>
      <c r="F20" s="28">
        <f t="shared" si="3"/>
        <v>0</v>
      </c>
      <c r="G20" s="29"/>
      <c r="H20" s="30"/>
      <c r="I20" s="31"/>
      <c r="J20" s="32"/>
      <c r="K20" s="33"/>
      <c r="L20" s="34"/>
      <c r="M20" s="35"/>
      <c r="N20" s="36"/>
      <c r="O20" s="37"/>
      <c r="P20" s="38"/>
      <c r="Q20" s="38"/>
      <c r="R20" s="31">
        <f t="shared" si="6"/>
        <v>0</v>
      </c>
    </row>
    <row r="21" ht="16.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89"/>
      <c r="P21" s="90"/>
      <c r="Q21" s="5"/>
      <c r="R21" s="31">
        <f t="shared" si="6"/>
        <v>0</v>
      </c>
    </row>
    <row r="22" ht="16.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49"/>
      <c r="P22" s="49"/>
      <c r="Q22" s="5"/>
      <c r="R22" s="31">
        <f t="shared" si="6"/>
        <v>0</v>
      </c>
    </row>
    <row r="23" ht="16.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49"/>
      <c r="P23" s="49"/>
      <c r="Q23" s="5"/>
      <c r="R23" s="31">
        <f t="shared" si="6"/>
        <v>0</v>
      </c>
    </row>
    <row r="24" ht="16.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49"/>
      <c r="P24" s="49"/>
      <c r="Q24" s="5"/>
      <c r="R24" s="31">
        <f t="shared" si="6"/>
        <v>0</v>
      </c>
    </row>
    <row r="25" ht="16.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49"/>
      <c r="P25" s="49"/>
      <c r="Q25" s="5"/>
      <c r="R25" s="31">
        <f t="shared" si="6"/>
        <v>0</v>
      </c>
    </row>
    <row r="26" ht="16.5" customHeight="1">
      <c r="A26" s="29">
        <v>23.0</v>
      </c>
      <c r="B26" s="25"/>
      <c r="C26" s="26"/>
      <c r="D26" s="26"/>
      <c r="E26" s="26"/>
      <c r="F26" s="28">
        <f t="shared" ref="F26:F45" si="7">D26-E26</f>
        <v>0</v>
      </c>
      <c r="G26" s="29"/>
      <c r="H26" s="30"/>
      <c r="I26" s="31">
        <f t="shared" ref="I26:I45" si="8">IF(G26="현금",H26,H26/1.1)</f>
        <v>0</v>
      </c>
      <c r="J26" s="32" t="str">
        <f t="shared" ref="J26:J45" si="9">I26/D26</f>
        <v>#DIV/0!</v>
      </c>
      <c r="K26" s="33">
        <v>0.4</v>
      </c>
      <c r="L26" s="34" t="str">
        <f t="shared" ref="L26:L45" si="10">PRODUCT(K26,J26)</f>
        <v>#DIV/0!</v>
      </c>
      <c r="M26" s="91"/>
      <c r="N26" s="36" t="str">
        <f t="shared" ref="N26:N45" si="11">PRODUCT(M26,L26)</f>
        <v>#DIV/0!</v>
      </c>
      <c r="O26" s="53" t="s">
        <v>97</v>
      </c>
      <c r="P26" s="22"/>
      <c r="Q26" s="23"/>
      <c r="R26" s="51">
        <v>1496000.0</v>
      </c>
    </row>
    <row r="27" ht="16.5" customHeight="1">
      <c r="A27" s="29">
        <v>24.0</v>
      </c>
      <c r="B27" s="25"/>
      <c r="C27" s="26"/>
      <c r="D27" s="26"/>
      <c r="E27" s="26"/>
      <c r="F27" s="28">
        <f t="shared" si="7"/>
        <v>0</v>
      </c>
      <c r="G27" s="29"/>
      <c r="H27" s="30"/>
      <c r="I27" s="31">
        <f t="shared" si="8"/>
        <v>0</v>
      </c>
      <c r="J27" s="32" t="str">
        <f t="shared" si="9"/>
        <v>#DIV/0!</v>
      </c>
      <c r="K27" s="33">
        <v>0.4</v>
      </c>
      <c r="L27" s="34" t="str">
        <f t="shared" si="10"/>
        <v>#DIV/0!</v>
      </c>
      <c r="M27" s="91"/>
      <c r="N27" s="36" t="str">
        <f t="shared" si="11"/>
        <v>#DIV/0!</v>
      </c>
      <c r="O27" s="53" t="s">
        <v>56</v>
      </c>
      <c r="P27" s="22"/>
      <c r="Q27" s="23"/>
      <c r="R27" s="54"/>
    </row>
    <row r="28" ht="16.5" customHeight="1">
      <c r="A28" s="29">
        <v>25.0</v>
      </c>
      <c r="B28" s="25"/>
      <c r="C28" s="26"/>
      <c r="D28" s="25"/>
      <c r="E28" s="25"/>
      <c r="F28" s="28">
        <f t="shared" si="7"/>
        <v>0</v>
      </c>
      <c r="G28" s="29"/>
      <c r="H28" s="30"/>
      <c r="I28" s="31">
        <f t="shared" si="8"/>
        <v>0</v>
      </c>
      <c r="J28" s="32" t="str">
        <f t="shared" si="9"/>
        <v>#DIV/0!</v>
      </c>
      <c r="K28" s="33">
        <v>0.4</v>
      </c>
      <c r="L28" s="34" t="str">
        <f t="shared" si="10"/>
        <v>#DIV/0!</v>
      </c>
      <c r="M28" s="91"/>
      <c r="N28" s="36" t="str">
        <f t="shared" si="11"/>
        <v>#DIV/0!</v>
      </c>
      <c r="O28" s="53" t="s">
        <v>58</v>
      </c>
      <c r="P28" s="22"/>
      <c r="Q28" s="23"/>
      <c r="R28" s="54">
        <f>R27+R26</f>
        <v>1496000</v>
      </c>
    </row>
    <row r="29" ht="16.5" customHeight="1">
      <c r="A29" s="29">
        <v>26.0</v>
      </c>
      <c r="B29" s="25"/>
      <c r="C29" s="26"/>
      <c r="D29" s="26"/>
      <c r="E29" s="26"/>
      <c r="F29" s="28">
        <f t="shared" si="7"/>
        <v>0</v>
      </c>
      <c r="G29" s="29"/>
      <c r="H29" s="30"/>
      <c r="I29" s="31">
        <f t="shared" si="8"/>
        <v>0</v>
      </c>
      <c r="J29" s="32" t="str">
        <f t="shared" si="9"/>
        <v>#DIV/0!</v>
      </c>
      <c r="K29" s="33">
        <v>0.4</v>
      </c>
      <c r="L29" s="34" t="str">
        <f t="shared" si="10"/>
        <v>#DIV/0!</v>
      </c>
      <c r="M29" s="91"/>
      <c r="N29" s="36" t="str">
        <f t="shared" si="11"/>
        <v>#DIV/0!</v>
      </c>
      <c r="O29" s="57" t="s">
        <v>130</v>
      </c>
      <c r="P29" s="2"/>
      <c r="Q29" s="3"/>
      <c r="R29" s="58">
        <v>900000.0</v>
      </c>
    </row>
    <row r="30" ht="16.5" customHeight="1">
      <c r="A30" s="29">
        <v>27.0</v>
      </c>
      <c r="B30" s="25"/>
      <c r="C30" s="26"/>
      <c r="D30" s="26"/>
      <c r="E30" s="26"/>
      <c r="F30" s="28">
        <f t="shared" si="7"/>
        <v>0</v>
      </c>
      <c r="G30" s="29"/>
      <c r="H30" s="30"/>
      <c r="I30" s="31">
        <f t="shared" si="8"/>
        <v>0</v>
      </c>
      <c r="J30" s="32" t="str">
        <f t="shared" si="9"/>
        <v>#DIV/0!</v>
      </c>
      <c r="K30" s="33">
        <v>0.4</v>
      </c>
      <c r="L30" s="34" t="str">
        <f t="shared" si="10"/>
        <v>#DIV/0!</v>
      </c>
      <c r="M30" s="35"/>
      <c r="N30" s="36" t="str">
        <f t="shared" si="11"/>
        <v>#DIV/0!</v>
      </c>
      <c r="O30" s="59"/>
      <c r="P30" s="60"/>
      <c r="Q30" s="61"/>
      <c r="R30" s="62"/>
    </row>
    <row r="31" ht="16.5" customHeight="1">
      <c r="A31" s="29">
        <v>28.0</v>
      </c>
      <c r="B31" s="43"/>
      <c r="C31" s="27"/>
      <c r="D31" s="27"/>
      <c r="E31" s="27"/>
      <c r="F31" s="28">
        <f t="shared" si="7"/>
        <v>0</v>
      </c>
      <c r="G31" s="29"/>
      <c r="H31" s="30"/>
      <c r="I31" s="31">
        <f t="shared" si="8"/>
        <v>0</v>
      </c>
      <c r="J31" s="32" t="str">
        <f t="shared" si="9"/>
        <v>#DIV/0!</v>
      </c>
      <c r="K31" s="33">
        <v>0.4</v>
      </c>
      <c r="L31" s="34" t="str">
        <f t="shared" si="10"/>
        <v>#DIV/0!</v>
      </c>
      <c r="M31" s="29"/>
      <c r="N31" s="36" t="str">
        <f t="shared" si="11"/>
        <v>#DIV/0!</v>
      </c>
      <c r="O31" s="57" t="s">
        <v>131</v>
      </c>
      <c r="P31" s="2"/>
      <c r="Q31" s="3"/>
      <c r="R31" s="63">
        <f>SUMIF(N4:N45,"&gt;0",N4:N45)</f>
        <v>960000</v>
      </c>
    </row>
    <row r="32" ht="16.5" customHeight="1">
      <c r="A32" s="29">
        <v>29.0</v>
      </c>
      <c r="B32" s="43"/>
      <c r="C32" s="27"/>
      <c r="D32" s="43"/>
      <c r="E32" s="43"/>
      <c r="F32" s="28">
        <f t="shared" si="7"/>
        <v>0</v>
      </c>
      <c r="G32" s="29"/>
      <c r="H32" s="30"/>
      <c r="I32" s="31">
        <f t="shared" si="8"/>
        <v>0</v>
      </c>
      <c r="J32" s="32" t="str">
        <f t="shared" si="9"/>
        <v>#DIV/0!</v>
      </c>
      <c r="K32" s="33">
        <v>0.4</v>
      </c>
      <c r="L32" s="34" t="str">
        <f t="shared" si="10"/>
        <v>#DIV/0!</v>
      </c>
      <c r="M32" s="81"/>
      <c r="N32" s="36" t="str">
        <f t="shared" si="11"/>
        <v>#DIV/0!</v>
      </c>
      <c r="O32" s="59"/>
      <c r="P32" s="60"/>
      <c r="Q32" s="61"/>
      <c r="R32" s="62"/>
    </row>
    <row r="33" ht="16.5" customHeight="1">
      <c r="A33" s="29">
        <v>30.0</v>
      </c>
      <c r="B33" s="43"/>
      <c r="C33" s="27"/>
      <c r="D33" s="27"/>
      <c r="E33" s="27"/>
      <c r="F33" s="28">
        <f t="shared" si="7"/>
        <v>0</v>
      </c>
      <c r="G33" s="29"/>
      <c r="H33" s="30"/>
      <c r="I33" s="31">
        <f t="shared" si="8"/>
        <v>0</v>
      </c>
      <c r="J33" s="32" t="str">
        <f t="shared" si="9"/>
        <v>#DIV/0!</v>
      </c>
      <c r="K33" s="33">
        <v>0.4</v>
      </c>
      <c r="L33" s="34" t="str">
        <f t="shared" si="10"/>
        <v>#DIV/0!</v>
      </c>
      <c r="M33" s="81"/>
      <c r="N33" s="36" t="str">
        <f t="shared" si="11"/>
        <v>#DIV/0!</v>
      </c>
      <c r="O33" s="57" t="s">
        <v>63</v>
      </c>
      <c r="P33" s="2"/>
      <c r="Q33" s="3"/>
      <c r="R33" s="63">
        <f>R29+R31</f>
        <v>1860000</v>
      </c>
    </row>
    <row r="34" ht="16.5" customHeight="1">
      <c r="A34" s="29">
        <v>31.0</v>
      </c>
      <c r="B34" s="43"/>
      <c r="C34" s="27"/>
      <c r="D34" s="27"/>
      <c r="E34" s="27"/>
      <c r="F34" s="28">
        <f t="shared" si="7"/>
        <v>0</v>
      </c>
      <c r="G34" s="29"/>
      <c r="H34" s="30"/>
      <c r="I34" s="31">
        <f t="shared" si="8"/>
        <v>0</v>
      </c>
      <c r="J34" s="32" t="str">
        <f t="shared" si="9"/>
        <v>#DIV/0!</v>
      </c>
      <c r="K34" s="33">
        <v>0.4</v>
      </c>
      <c r="L34" s="34" t="str">
        <f t="shared" si="10"/>
        <v>#DIV/0!</v>
      </c>
      <c r="M34" s="81"/>
      <c r="N34" s="36" t="str">
        <f t="shared" si="11"/>
        <v>#DIV/0!</v>
      </c>
      <c r="O34" s="59"/>
      <c r="P34" s="60"/>
      <c r="Q34" s="61"/>
      <c r="R34" s="62"/>
    </row>
    <row r="35" ht="16.5" customHeight="1">
      <c r="A35" s="29">
        <v>32.0</v>
      </c>
      <c r="B35" s="43"/>
      <c r="C35" s="27"/>
      <c r="D35" s="43"/>
      <c r="E35" s="43"/>
      <c r="F35" s="28">
        <f t="shared" si="7"/>
        <v>0</v>
      </c>
      <c r="G35" s="29"/>
      <c r="H35" s="44"/>
      <c r="I35" s="31">
        <f t="shared" si="8"/>
        <v>0</v>
      </c>
      <c r="J35" s="32" t="str">
        <f t="shared" si="9"/>
        <v>#DIV/0!</v>
      </c>
      <c r="K35" s="33">
        <v>0.4</v>
      </c>
      <c r="L35" s="34" t="str">
        <f t="shared" si="10"/>
        <v>#DIV/0!</v>
      </c>
      <c r="M35" s="81"/>
      <c r="N35" s="36" t="str">
        <f t="shared" si="11"/>
        <v>#DIV/0!</v>
      </c>
      <c r="O35" s="67" t="s">
        <v>104</v>
      </c>
      <c r="P35" s="22"/>
      <c r="Q35" s="22"/>
      <c r="R35" s="23"/>
    </row>
    <row r="36" ht="16.5" customHeight="1">
      <c r="A36" s="29">
        <v>33.0</v>
      </c>
      <c r="B36" s="43"/>
      <c r="C36" s="27"/>
      <c r="D36" s="27"/>
      <c r="E36" s="27"/>
      <c r="F36" s="28">
        <f t="shared" si="7"/>
        <v>0</v>
      </c>
      <c r="G36" s="29"/>
      <c r="H36" s="30"/>
      <c r="I36" s="31">
        <f t="shared" si="8"/>
        <v>0</v>
      </c>
      <c r="J36" s="32" t="str">
        <f t="shared" si="9"/>
        <v>#DIV/0!</v>
      </c>
      <c r="K36" s="33">
        <v>0.4</v>
      </c>
      <c r="L36" s="34" t="str">
        <f t="shared" si="10"/>
        <v>#DIV/0!</v>
      </c>
      <c r="M36" s="81"/>
      <c r="N36" s="36" t="str">
        <f t="shared" si="11"/>
        <v>#DIV/0!</v>
      </c>
      <c r="O36" s="67" t="s">
        <v>132</v>
      </c>
      <c r="P36" s="22"/>
      <c r="Q36" s="22"/>
      <c r="R36" s="23"/>
    </row>
    <row r="37" ht="16.5" customHeight="1">
      <c r="A37" s="29">
        <v>34.0</v>
      </c>
      <c r="B37" s="43"/>
      <c r="C37" s="27"/>
      <c r="D37" s="43"/>
      <c r="E37" s="43"/>
      <c r="F37" s="28">
        <f t="shared" si="7"/>
        <v>0</v>
      </c>
      <c r="G37" s="29"/>
      <c r="H37" s="44"/>
      <c r="I37" s="31">
        <f t="shared" si="8"/>
        <v>0</v>
      </c>
      <c r="J37" s="32" t="str">
        <f t="shared" si="9"/>
        <v>#DIV/0!</v>
      </c>
      <c r="K37" s="33">
        <v>0.4</v>
      </c>
      <c r="L37" s="34" t="str">
        <f t="shared" si="10"/>
        <v>#DIV/0!</v>
      </c>
      <c r="M37" s="81"/>
      <c r="N37" s="36" t="str">
        <f t="shared" si="11"/>
        <v>#DIV/0!</v>
      </c>
      <c r="O37" s="67" t="s">
        <v>106</v>
      </c>
      <c r="P37" s="22"/>
      <c r="Q37" s="22"/>
      <c r="R37" s="23"/>
    </row>
    <row r="38" ht="16.5" customHeight="1">
      <c r="A38" s="29">
        <v>35.0</v>
      </c>
      <c r="B38" s="43"/>
      <c r="C38" s="27"/>
      <c r="D38" s="27"/>
      <c r="E38" s="27"/>
      <c r="F38" s="28">
        <f t="shared" si="7"/>
        <v>0</v>
      </c>
      <c r="G38" s="29"/>
      <c r="H38" s="44"/>
      <c r="I38" s="31">
        <f t="shared" si="8"/>
        <v>0</v>
      </c>
      <c r="J38" s="32" t="str">
        <f t="shared" si="9"/>
        <v>#DIV/0!</v>
      </c>
      <c r="K38" s="33">
        <v>0.4</v>
      </c>
      <c r="L38" s="34" t="str">
        <f t="shared" si="10"/>
        <v>#DIV/0!</v>
      </c>
      <c r="M38" s="81"/>
      <c r="N38" s="36" t="str">
        <f t="shared" si="11"/>
        <v>#DIV/0!</v>
      </c>
      <c r="O38" s="67" t="s">
        <v>108</v>
      </c>
      <c r="P38" s="22"/>
      <c r="Q38" s="22"/>
      <c r="R38" s="23"/>
    </row>
    <row r="39" ht="16.5" customHeight="1">
      <c r="A39" s="29">
        <v>36.0</v>
      </c>
      <c r="B39" s="43"/>
      <c r="C39" s="27"/>
      <c r="D39" s="27"/>
      <c r="E39" s="27"/>
      <c r="F39" s="28">
        <f t="shared" si="7"/>
        <v>0</v>
      </c>
      <c r="G39" s="29"/>
      <c r="H39" s="48"/>
      <c r="I39" s="31">
        <f t="shared" si="8"/>
        <v>0</v>
      </c>
      <c r="J39" s="32" t="str">
        <f t="shared" si="9"/>
        <v>#DIV/0!</v>
      </c>
      <c r="K39" s="33">
        <v>0.4</v>
      </c>
      <c r="L39" s="34" t="str">
        <f t="shared" si="10"/>
        <v>#DIV/0!</v>
      </c>
      <c r="M39" s="81"/>
      <c r="N39" s="36" t="str">
        <f t="shared" si="11"/>
        <v>#DIV/0!</v>
      </c>
      <c r="O39" s="67" t="s">
        <v>110</v>
      </c>
      <c r="P39" s="22"/>
      <c r="Q39" s="22"/>
      <c r="R39" s="23"/>
    </row>
    <row r="40" ht="16.5" customHeight="1">
      <c r="A40" s="29">
        <v>37.0</v>
      </c>
      <c r="B40" s="43"/>
      <c r="C40" s="27"/>
      <c r="D40" s="27"/>
      <c r="E40" s="27"/>
      <c r="F40" s="28">
        <f t="shared" si="7"/>
        <v>0</v>
      </c>
      <c r="G40" s="29"/>
      <c r="H40" s="48"/>
      <c r="I40" s="31">
        <f t="shared" si="8"/>
        <v>0</v>
      </c>
      <c r="J40" s="32" t="str">
        <f t="shared" si="9"/>
        <v>#DIV/0!</v>
      </c>
      <c r="K40" s="33">
        <v>0.4</v>
      </c>
      <c r="L40" s="34" t="str">
        <f t="shared" si="10"/>
        <v>#DIV/0!</v>
      </c>
      <c r="M40" s="81"/>
      <c r="N40" s="36" t="str">
        <f t="shared" si="11"/>
        <v>#DIV/0!</v>
      </c>
      <c r="O40" s="67" t="s">
        <v>111</v>
      </c>
      <c r="P40" s="22"/>
      <c r="Q40" s="22"/>
      <c r="R40" s="23"/>
    </row>
    <row r="41" ht="16.5" customHeight="1">
      <c r="A41" s="29">
        <v>38.0</v>
      </c>
      <c r="B41" s="43"/>
      <c r="C41" s="27"/>
      <c r="D41" s="27"/>
      <c r="E41" s="27"/>
      <c r="F41" s="28">
        <f t="shared" si="7"/>
        <v>0</v>
      </c>
      <c r="G41" s="29"/>
      <c r="H41" s="48"/>
      <c r="I41" s="31">
        <f t="shared" si="8"/>
        <v>0</v>
      </c>
      <c r="J41" s="32" t="str">
        <f t="shared" si="9"/>
        <v>#DIV/0!</v>
      </c>
      <c r="K41" s="33">
        <v>0.4</v>
      </c>
      <c r="L41" s="34" t="str">
        <f t="shared" si="10"/>
        <v>#DIV/0!</v>
      </c>
      <c r="M41" s="81"/>
      <c r="N41" s="36" t="str">
        <f t="shared" si="11"/>
        <v>#DIV/0!</v>
      </c>
      <c r="O41" s="67" t="s">
        <v>112</v>
      </c>
      <c r="P41" s="22"/>
      <c r="Q41" s="22"/>
      <c r="R41" s="23"/>
    </row>
    <row r="42" ht="16.5" customHeight="1">
      <c r="A42" s="29">
        <v>39.0</v>
      </c>
      <c r="B42" s="43"/>
      <c r="C42" s="27"/>
      <c r="D42" s="27"/>
      <c r="E42" s="27"/>
      <c r="F42" s="28">
        <f t="shared" si="7"/>
        <v>0</v>
      </c>
      <c r="G42" s="29"/>
      <c r="H42" s="48"/>
      <c r="I42" s="31">
        <f t="shared" si="8"/>
        <v>0</v>
      </c>
      <c r="J42" s="32" t="str">
        <f t="shared" si="9"/>
        <v>#DIV/0!</v>
      </c>
      <c r="K42" s="33">
        <v>0.4</v>
      </c>
      <c r="L42" s="34" t="str">
        <f t="shared" si="10"/>
        <v>#DIV/0!</v>
      </c>
      <c r="M42" s="81"/>
      <c r="N42" s="36" t="str">
        <f t="shared" si="11"/>
        <v>#DIV/0!</v>
      </c>
      <c r="O42" s="67" t="s">
        <v>113</v>
      </c>
      <c r="P42" s="22"/>
      <c r="Q42" s="22"/>
      <c r="R42" s="23"/>
    </row>
    <row r="43" ht="16.5" customHeight="1">
      <c r="A43" s="29">
        <v>40.0</v>
      </c>
      <c r="B43" s="43"/>
      <c r="C43" s="27"/>
      <c r="D43" s="27"/>
      <c r="E43" s="27"/>
      <c r="F43" s="28">
        <f t="shared" si="7"/>
        <v>0</v>
      </c>
      <c r="G43" s="29"/>
      <c r="H43" s="48"/>
      <c r="I43" s="31">
        <f t="shared" si="8"/>
        <v>0</v>
      </c>
      <c r="J43" s="32" t="str">
        <f t="shared" si="9"/>
        <v>#DIV/0!</v>
      </c>
      <c r="K43" s="33">
        <v>0.4</v>
      </c>
      <c r="L43" s="34" t="str">
        <f t="shared" si="10"/>
        <v>#DIV/0!</v>
      </c>
      <c r="M43" s="81"/>
      <c r="N43" s="36" t="str">
        <f t="shared" si="11"/>
        <v>#DIV/0!</v>
      </c>
      <c r="O43" s="67" t="s">
        <v>114</v>
      </c>
      <c r="P43" s="22"/>
      <c r="Q43" s="22"/>
      <c r="R43" s="23"/>
    </row>
    <row r="44" ht="16.5" customHeight="1">
      <c r="A44" s="29">
        <v>41.0</v>
      </c>
      <c r="B44" s="43"/>
      <c r="C44" s="27"/>
      <c r="D44" s="27"/>
      <c r="E44" s="27"/>
      <c r="F44" s="28">
        <f t="shared" si="7"/>
        <v>0</v>
      </c>
      <c r="G44" s="29"/>
      <c r="H44" s="48"/>
      <c r="I44" s="31">
        <f t="shared" si="8"/>
        <v>0</v>
      </c>
      <c r="J44" s="32" t="str">
        <f t="shared" si="9"/>
        <v>#DIV/0!</v>
      </c>
      <c r="K44" s="33">
        <v>0.4</v>
      </c>
      <c r="L44" s="34" t="str">
        <f t="shared" si="10"/>
        <v>#DIV/0!</v>
      </c>
      <c r="M44" s="81"/>
      <c r="N44" s="36" t="str">
        <f t="shared" si="11"/>
        <v>#DIV/0!</v>
      </c>
    </row>
    <row r="45" ht="16.5" customHeight="1">
      <c r="A45" s="29">
        <v>42.0</v>
      </c>
      <c r="B45" s="43"/>
      <c r="C45" s="27"/>
      <c r="D45" s="27"/>
      <c r="E45" s="27"/>
      <c r="F45" s="28">
        <f t="shared" si="7"/>
        <v>0</v>
      </c>
      <c r="G45" s="29"/>
      <c r="H45" s="48"/>
      <c r="I45" s="31">
        <f t="shared" si="8"/>
        <v>0</v>
      </c>
      <c r="J45" s="32" t="str">
        <f t="shared" si="9"/>
        <v>#DIV/0!</v>
      </c>
      <c r="K45" s="33">
        <v>0.4</v>
      </c>
      <c r="L45" s="34" t="str">
        <f t="shared" si="10"/>
        <v>#DIV/0!</v>
      </c>
      <c r="M45" s="81"/>
      <c r="N45" s="36" t="str">
        <f t="shared" si="11"/>
        <v>#DIV/0!</v>
      </c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H2"/>
    <mergeCell ref="O3:R3"/>
    <mergeCell ref="O26:Q26"/>
    <mergeCell ref="O27:Q27"/>
    <mergeCell ref="O28:Q28"/>
    <mergeCell ref="O29:Q30"/>
    <mergeCell ref="R29:R30"/>
    <mergeCell ref="O38:R38"/>
    <mergeCell ref="O39:R39"/>
    <mergeCell ref="O40:R40"/>
    <mergeCell ref="O41:R41"/>
    <mergeCell ref="O42:R42"/>
    <mergeCell ref="O43:R43"/>
    <mergeCell ref="O31:Q32"/>
    <mergeCell ref="R31:R32"/>
    <mergeCell ref="O33:Q34"/>
    <mergeCell ref="R33:R34"/>
    <mergeCell ref="O35:R35"/>
    <mergeCell ref="O36:R36"/>
    <mergeCell ref="O37:R37"/>
  </mergeCells>
  <printOptions/>
  <pageMargins bottom="0.75" footer="0.0" header="0.0" left="0.7" right="0.7" top="0.75"/>
  <pageSetup orientation="landscape"/>
  <drawing r:id="rId1"/>
</worksheet>
</file>